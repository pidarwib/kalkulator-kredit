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M\PROJECT\KALKULATOR\"/>
    </mc:Choice>
  </mc:AlternateContent>
  <xr:revisionPtr revIDLastSave="0" documentId="13_ncr:1_{7E27F734-3C2E-4F91-ACF7-1186707B5677}" xr6:coauthVersionLast="47" xr6:coauthVersionMax="47" xr10:uidLastSave="{00000000-0000-0000-0000-000000000000}"/>
  <bookViews>
    <workbookView xWindow="-120" yWindow="-120" windowWidth="20730" windowHeight="11160" tabRatio="828" activeTab="2" xr2:uid="{00000000-000D-0000-FFFF-FFFF00000000}"/>
  </bookViews>
  <sheets>
    <sheet name="Ref" sheetId="6" r:id="rId1"/>
    <sheet name="Asuransi" sheetId="1" r:id="rId2"/>
    <sheet name="Simulasi BPR" sheetId="2" r:id="rId3"/>
  </sheets>
  <externalReferences>
    <externalReference r:id="rId4"/>
  </externalReferences>
  <definedNames>
    <definedName name="_xlnm.Print_Area" localSheetId="1">Asuransi!$B$2:$Q$24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" i="6" l="1"/>
  <c r="P13" i="2"/>
  <c r="N13" i="2" s="1"/>
  <c r="C14" i="6"/>
  <c r="AC14" i="6"/>
  <c r="AC15" i="6" s="1"/>
  <c r="AC17" i="6" l="1"/>
  <c r="C48" i="1" l="1"/>
  <c r="D47" i="1"/>
  <c r="E46" i="1"/>
  <c r="F45" i="1"/>
  <c r="E45" i="1"/>
  <c r="C45" i="1"/>
  <c r="E44" i="1"/>
  <c r="H43" i="1"/>
  <c r="G43" i="1"/>
  <c r="D43" i="1"/>
  <c r="C43" i="1"/>
  <c r="H42" i="1"/>
  <c r="D42" i="1"/>
  <c r="I41" i="1"/>
  <c r="H41" i="1"/>
  <c r="E41" i="1"/>
  <c r="D41" i="1"/>
  <c r="C41" i="1"/>
  <c r="K40" i="1"/>
  <c r="G40" i="1"/>
  <c r="C40" i="1"/>
  <c r="J39" i="1"/>
  <c r="I39" i="1"/>
  <c r="H39" i="1"/>
  <c r="F39" i="1"/>
  <c r="I38" i="1"/>
  <c r="H38" i="1"/>
  <c r="E38" i="1"/>
  <c r="D38" i="1"/>
  <c r="C38" i="1"/>
  <c r="T37" i="1"/>
  <c r="K37" i="1"/>
  <c r="I37" i="1"/>
  <c r="G37" i="1"/>
  <c r="E37" i="1"/>
  <c r="C37" i="1"/>
  <c r="L36" i="1"/>
  <c r="H36" i="1"/>
  <c r="F36" i="1"/>
  <c r="D36" i="1"/>
  <c r="L35" i="1"/>
  <c r="J35" i="1"/>
  <c r="H35" i="1"/>
  <c r="D35" i="1"/>
  <c r="J34" i="1"/>
  <c r="F34" i="1"/>
  <c r="E34" i="1"/>
  <c r="M33" i="1"/>
  <c r="I33" i="1"/>
  <c r="E33" i="1"/>
  <c r="D33" i="1"/>
  <c r="N32" i="1"/>
  <c r="M32" i="1"/>
  <c r="L32" i="1"/>
  <c r="J32" i="1"/>
  <c r="F32" i="1"/>
  <c r="O31" i="1"/>
  <c r="L31" i="1"/>
  <c r="K31" i="1"/>
  <c r="J31" i="1"/>
  <c r="H31" i="1"/>
  <c r="G31" i="1"/>
  <c r="F31" i="1"/>
  <c r="D31" i="1"/>
  <c r="O30" i="1"/>
  <c r="N30" i="1"/>
  <c r="K30" i="1"/>
  <c r="J30" i="1"/>
  <c r="I30" i="1"/>
  <c r="G30" i="1"/>
  <c r="F30" i="1"/>
  <c r="E30" i="1"/>
  <c r="C30" i="1"/>
  <c r="O29" i="1"/>
  <c r="N29" i="1"/>
  <c r="K29" i="1"/>
  <c r="J29" i="1"/>
  <c r="I29" i="1"/>
  <c r="G29" i="1"/>
  <c r="F29" i="1"/>
  <c r="E29" i="1"/>
  <c r="C29" i="1"/>
  <c r="C24" i="1"/>
  <c r="D23" i="1"/>
  <c r="C23" i="1"/>
  <c r="C47" i="1" s="1"/>
  <c r="E22" i="1"/>
  <c r="D22" i="1"/>
  <c r="D46" i="1" s="1"/>
  <c r="C22" i="1"/>
  <c r="C46" i="1" s="1"/>
  <c r="F21" i="1"/>
  <c r="E21" i="1"/>
  <c r="D21" i="1"/>
  <c r="D45" i="1" s="1"/>
  <c r="C21" i="1"/>
  <c r="G20" i="1"/>
  <c r="G44" i="1" s="1"/>
  <c r="F20" i="1"/>
  <c r="F44" i="1" s="1"/>
  <c r="E20" i="1"/>
  <c r="D20" i="1"/>
  <c r="D44" i="1" s="1"/>
  <c r="C20" i="1"/>
  <c r="C44" i="1" s="1"/>
  <c r="H19" i="1"/>
  <c r="G19" i="1"/>
  <c r="F19" i="1"/>
  <c r="F43" i="1" s="1"/>
  <c r="E19" i="1"/>
  <c r="E43" i="1" s="1"/>
  <c r="D19" i="1"/>
  <c r="C19" i="1"/>
  <c r="I18" i="1"/>
  <c r="I42" i="1" s="1"/>
  <c r="H18" i="1"/>
  <c r="G18" i="1"/>
  <c r="G42" i="1" s="1"/>
  <c r="F18" i="1"/>
  <c r="F42" i="1" s="1"/>
  <c r="E18" i="1"/>
  <c r="E42" i="1" s="1"/>
  <c r="D18" i="1"/>
  <c r="C18" i="1"/>
  <c r="C42" i="1" s="1"/>
  <c r="J17" i="1"/>
  <c r="J41" i="1" s="1"/>
  <c r="I17" i="1"/>
  <c r="H17" i="1"/>
  <c r="G17" i="1"/>
  <c r="G41" i="1" s="1"/>
  <c r="F17" i="1"/>
  <c r="F41" i="1" s="1"/>
  <c r="E17" i="1"/>
  <c r="D17" i="1"/>
  <c r="C17" i="1"/>
  <c r="K16" i="1"/>
  <c r="J16" i="1"/>
  <c r="J40" i="1" s="1"/>
  <c r="I16" i="1"/>
  <c r="I40" i="1" s="1"/>
  <c r="H16" i="1"/>
  <c r="H40" i="1" s="1"/>
  <c r="G16" i="1"/>
  <c r="F16" i="1"/>
  <c r="F40" i="1" s="1"/>
  <c r="E16" i="1"/>
  <c r="E40" i="1" s="1"/>
  <c r="D16" i="1"/>
  <c r="D40" i="1" s="1"/>
  <c r="C16" i="1"/>
  <c r="L15" i="1"/>
  <c r="L39" i="1" s="1"/>
  <c r="K15" i="1"/>
  <c r="K39" i="1" s="1"/>
  <c r="J15" i="1"/>
  <c r="I15" i="1"/>
  <c r="H15" i="1"/>
  <c r="G15" i="1"/>
  <c r="G39" i="1" s="1"/>
  <c r="F15" i="1"/>
  <c r="E15" i="1"/>
  <c r="E39" i="1" s="1"/>
  <c r="D15" i="1"/>
  <c r="D39" i="1" s="1"/>
  <c r="C15" i="1"/>
  <c r="C39" i="1" s="1"/>
  <c r="L14" i="1"/>
  <c r="L38" i="1" s="1"/>
  <c r="K14" i="1"/>
  <c r="K38" i="1" s="1"/>
  <c r="J14" i="1"/>
  <c r="J38" i="1" s="1"/>
  <c r="I14" i="1"/>
  <c r="H14" i="1"/>
  <c r="G14" i="1"/>
  <c r="G38" i="1" s="1"/>
  <c r="F14" i="1"/>
  <c r="F38" i="1" s="1"/>
  <c r="E14" i="1"/>
  <c r="D14" i="1"/>
  <c r="C14" i="1"/>
  <c r="L13" i="1"/>
  <c r="L37" i="1" s="1"/>
  <c r="K13" i="1"/>
  <c r="J13" i="1"/>
  <c r="J37" i="1" s="1"/>
  <c r="I13" i="1"/>
  <c r="H13" i="1"/>
  <c r="H37" i="1" s="1"/>
  <c r="G13" i="1"/>
  <c r="F13" i="1"/>
  <c r="F37" i="1" s="1"/>
  <c r="E13" i="1"/>
  <c r="D13" i="1"/>
  <c r="D37" i="1" s="1"/>
  <c r="C13" i="1"/>
  <c r="L12" i="1"/>
  <c r="K12" i="1"/>
  <c r="K36" i="1" s="1"/>
  <c r="J12" i="1"/>
  <c r="J36" i="1" s="1"/>
  <c r="I12" i="1"/>
  <c r="I36" i="1" s="1"/>
  <c r="H12" i="1"/>
  <c r="G12" i="1"/>
  <c r="G36" i="1" s="1"/>
  <c r="F12" i="1"/>
  <c r="E12" i="1"/>
  <c r="E36" i="1" s="1"/>
  <c r="D12" i="1"/>
  <c r="C12" i="1"/>
  <c r="C36" i="1" s="1"/>
  <c r="L11" i="1"/>
  <c r="K11" i="1"/>
  <c r="K35" i="1" s="1"/>
  <c r="J11" i="1"/>
  <c r="I11" i="1"/>
  <c r="I35" i="1" s="1"/>
  <c r="H11" i="1"/>
  <c r="G11" i="1"/>
  <c r="G35" i="1" s="1"/>
  <c r="F11" i="1"/>
  <c r="F35" i="1" s="1"/>
  <c r="E11" i="1"/>
  <c r="E35" i="1" s="1"/>
  <c r="D11" i="1"/>
  <c r="C11" i="1"/>
  <c r="C35" i="1" s="1"/>
  <c r="L10" i="1"/>
  <c r="L34" i="1" s="1"/>
  <c r="K10" i="1"/>
  <c r="K34" i="1" s="1"/>
  <c r="J10" i="1"/>
  <c r="I10" i="1"/>
  <c r="I34" i="1" s="1"/>
  <c r="H10" i="1"/>
  <c r="H34" i="1" s="1"/>
  <c r="G10" i="1"/>
  <c r="G34" i="1" s="1"/>
  <c r="F10" i="1"/>
  <c r="E10" i="1"/>
  <c r="D10" i="1"/>
  <c r="D34" i="1" s="1"/>
  <c r="C10" i="1"/>
  <c r="C34" i="1" s="1"/>
  <c r="M9" i="1"/>
  <c r="L9" i="1"/>
  <c r="L33" i="1" s="1"/>
  <c r="K9" i="1"/>
  <c r="K33" i="1" s="1"/>
  <c r="J9" i="1"/>
  <c r="J33" i="1" s="1"/>
  <c r="I9" i="1"/>
  <c r="H9" i="1"/>
  <c r="H33" i="1" s="1"/>
  <c r="G9" i="1"/>
  <c r="G33" i="1" s="1"/>
  <c r="F9" i="1"/>
  <c r="F33" i="1" s="1"/>
  <c r="E9" i="1"/>
  <c r="D9" i="1"/>
  <c r="C9" i="1"/>
  <c r="C33" i="1" s="1"/>
  <c r="N8" i="1"/>
  <c r="M8" i="1"/>
  <c r="L8" i="1"/>
  <c r="K8" i="1"/>
  <c r="K32" i="1" s="1"/>
  <c r="J8" i="1"/>
  <c r="I8" i="1"/>
  <c r="I32" i="1" s="1"/>
  <c r="H8" i="1"/>
  <c r="H32" i="1" s="1"/>
  <c r="G8" i="1"/>
  <c r="G32" i="1" s="1"/>
  <c r="F8" i="1"/>
  <c r="E8" i="1"/>
  <c r="E32" i="1" s="1"/>
  <c r="D8" i="1"/>
  <c r="D32" i="1" s="1"/>
  <c r="C8" i="1"/>
  <c r="C32" i="1" s="1"/>
  <c r="O7" i="1"/>
  <c r="N7" i="1"/>
  <c r="N31" i="1" s="1"/>
  <c r="M7" i="1"/>
  <c r="M31" i="1" s="1"/>
  <c r="L7" i="1"/>
  <c r="K7" i="1"/>
  <c r="J7" i="1"/>
  <c r="I7" i="1"/>
  <c r="I31" i="1" s="1"/>
  <c r="H7" i="1"/>
  <c r="G7" i="1"/>
  <c r="F7" i="1"/>
  <c r="E7" i="1"/>
  <c r="E31" i="1" s="1"/>
  <c r="D7" i="1"/>
  <c r="C7" i="1"/>
  <c r="C31" i="1" s="1"/>
  <c r="P6" i="1"/>
  <c r="P30" i="1" s="1"/>
  <c r="O6" i="1"/>
  <c r="N6" i="1"/>
  <c r="M6" i="1"/>
  <c r="M30" i="1" s="1"/>
  <c r="L6" i="1"/>
  <c r="L30" i="1" s="1"/>
  <c r="K6" i="1"/>
  <c r="J6" i="1"/>
  <c r="I6" i="1"/>
  <c r="H6" i="1"/>
  <c r="H30" i="1" s="1"/>
  <c r="G6" i="1"/>
  <c r="F6" i="1"/>
  <c r="E6" i="1"/>
  <c r="D6" i="1"/>
  <c r="D30" i="1" s="1"/>
  <c r="C6" i="1"/>
  <c r="Q5" i="1"/>
  <c r="Q29" i="1" s="1"/>
  <c r="P5" i="1"/>
  <c r="P29" i="1" s="1"/>
  <c r="O5" i="1"/>
  <c r="N5" i="1"/>
  <c r="M5" i="1"/>
  <c r="M29" i="1" s="1"/>
  <c r="L5" i="1"/>
  <c r="L29" i="1" s="1"/>
  <c r="K5" i="1"/>
  <c r="J5" i="1"/>
  <c r="I5" i="1"/>
  <c r="H5" i="1"/>
  <c r="H29" i="1" s="1"/>
  <c r="G5" i="1"/>
  <c r="F5" i="1"/>
  <c r="E5" i="1"/>
  <c r="D5" i="1"/>
  <c r="D29" i="1" s="1"/>
  <c r="C5" i="1"/>
  <c r="AA53" i="6"/>
  <c r="AA54" i="6" s="1"/>
  <c r="R53" i="6"/>
  <c r="AA52" i="6"/>
  <c r="R52" i="6"/>
  <c r="R51" i="6"/>
  <c r="R50" i="6"/>
  <c r="R49" i="6"/>
  <c r="R48" i="6"/>
  <c r="R47" i="6"/>
  <c r="R46" i="6"/>
  <c r="R45" i="6"/>
  <c r="AA44" i="6"/>
  <c r="AA45" i="6" s="1"/>
  <c r="Q44" i="6"/>
  <c r="R44" i="6" s="1"/>
  <c r="AA43" i="6"/>
  <c r="R43" i="6"/>
  <c r="AA19" i="6" s="1"/>
  <c r="Q43" i="6"/>
  <c r="R42" i="6"/>
  <c r="R41" i="6"/>
  <c r="R40" i="6"/>
  <c r="R39" i="6"/>
  <c r="AA34" i="6"/>
  <c r="AA35" i="6" s="1"/>
  <c r="AA36" i="6" s="1"/>
  <c r="AA33" i="6"/>
  <c r="AC27" i="6"/>
  <c r="AB27" i="6" s="1"/>
  <c r="AB26" i="6"/>
  <c r="AA18" i="6"/>
  <c r="AA17" i="6"/>
  <c r="Z16" i="6"/>
  <c r="Y14" i="6"/>
  <c r="D14" i="6"/>
  <c r="Y13" i="6"/>
  <c r="AC12" i="6"/>
  <c r="M11" i="6"/>
  <c r="N11" i="6" s="1"/>
  <c r="O11" i="6" s="1"/>
  <c r="C12" i="6" s="1"/>
  <c r="C11" i="6"/>
  <c r="M10" i="6"/>
  <c r="C10" i="6"/>
  <c r="AC8" i="6"/>
  <c r="AC7" i="6"/>
  <c r="AC9" i="6" s="1"/>
  <c r="Y5" i="6"/>
  <c r="Y2" i="6" s="1"/>
  <c r="Z2" i="6"/>
  <c r="J7" i="2" s="1"/>
  <c r="I25" i="2"/>
  <c r="G25" i="2"/>
  <c r="I24" i="2"/>
  <c r="G24" i="2"/>
  <c r="F18" i="2"/>
  <c r="G18" i="2" s="1"/>
  <c r="F17" i="2"/>
  <c r="C17" i="2"/>
  <c r="I10" i="2"/>
  <c r="C9" i="2"/>
  <c r="E3" i="2"/>
  <c r="K7" i="2" l="1"/>
  <c r="I7" i="2"/>
  <c r="AC13" i="6"/>
  <c r="AC18" i="6" s="1"/>
  <c r="J10" i="2" s="1"/>
  <c r="Y3" i="6"/>
  <c r="N9" i="2"/>
  <c r="Y4" i="6"/>
  <c r="Z3" i="6"/>
  <c r="AC19" i="6"/>
  <c r="AC23" i="6"/>
  <c r="AC22" i="6"/>
  <c r="Q11" i="6"/>
  <c r="R48" i="1"/>
  <c r="R43" i="1"/>
  <c r="R40" i="1"/>
  <c r="R36" i="1"/>
  <c r="R35" i="1"/>
  <c r="U34" i="1"/>
  <c r="R33" i="1"/>
  <c r="R32" i="1"/>
  <c r="R22" i="1"/>
  <c r="R21" i="1"/>
  <c r="R14" i="1"/>
  <c r="R13" i="1"/>
  <c r="R7" i="1"/>
  <c r="R8" i="1"/>
  <c r="R9" i="1"/>
  <c r="R16" i="1"/>
  <c r="R19" i="1"/>
  <c r="R23" i="1"/>
  <c r="R38" i="1"/>
  <c r="R39" i="1"/>
  <c r="R42" i="1"/>
  <c r="G17" i="2"/>
  <c r="AC10" i="6"/>
  <c r="R10" i="1"/>
  <c r="R17" i="1"/>
  <c r="R18" i="1"/>
  <c r="R31" i="1"/>
  <c r="U33" i="1"/>
  <c r="R46" i="1"/>
  <c r="R6" i="1"/>
  <c r="U9" i="1"/>
  <c r="U10" i="1"/>
  <c r="R11" i="1"/>
  <c r="R12" i="1"/>
  <c r="R15" i="1"/>
  <c r="R20" i="1"/>
  <c r="R24" i="1"/>
  <c r="R30" i="1"/>
  <c r="R34" i="1"/>
  <c r="R37" i="1"/>
  <c r="R41" i="1"/>
  <c r="R44" i="1"/>
  <c r="R45" i="1"/>
  <c r="R5" i="1"/>
  <c r="R29" i="1"/>
  <c r="R47" i="1"/>
  <c r="AC4" i="6" l="1"/>
  <c r="Z4" i="6"/>
  <c r="R3" i="1" s="1"/>
  <c r="T9" i="1"/>
  <c r="T10" i="1" s="1"/>
  <c r="V10" i="1" s="1"/>
  <c r="Z17" i="6"/>
  <c r="AC20" i="6"/>
  <c r="T13" i="1"/>
  <c r="T33" i="1"/>
  <c r="T34" i="1" s="1"/>
  <c r="V34" i="1" s="1"/>
  <c r="M7" i="2"/>
  <c r="Y8" i="6"/>
  <c r="G12" i="2"/>
  <c r="Z15" i="6"/>
  <c r="AC24" i="6"/>
  <c r="AA22" i="6"/>
  <c r="AA23" i="6" s="1"/>
  <c r="R27" i="1"/>
  <c r="Y9" i="6" l="1"/>
  <c r="V9" i="1"/>
  <c r="V11" i="1" s="1"/>
  <c r="G3" i="6" s="1"/>
  <c r="C8" i="6" s="1"/>
  <c r="V33" i="1"/>
  <c r="V35" i="1" s="1"/>
  <c r="AA24" i="6"/>
  <c r="AA25" i="6" s="1"/>
  <c r="H3" i="6" l="1"/>
  <c r="C9" i="6" s="1"/>
  <c r="C13" i="6" s="1"/>
  <c r="F19" i="2" l="1"/>
  <c r="I26" i="2" s="1"/>
  <c r="G19" i="2" l="1"/>
  <c r="G26" i="2"/>
  <c r="N16" i="2" l="1"/>
  <c r="M16" i="2" s="1"/>
  <c r="G21" i="2"/>
  <c r="J21" i="2" s="1"/>
  <c r="M13" i="2"/>
  <c r="Y10" i="6" s="1"/>
  <c r="M10" i="2" s="1"/>
</calcChain>
</file>

<file path=xl/sharedStrings.xml><?xml version="1.0" encoding="utf-8"?>
<sst xmlns="http://schemas.openxmlformats.org/spreadsheetml/2006/main" count="275" uniqueCount="186">
  <si>
    <t>Tgl</t>
  </si>
  <si>
    <t>Bulan</t>
  </si>
  <si>
    <t>Tahun</t>
  </si>
  <si>
    <t>Hari</t>
  </si>
  <si>
    <t>Rp</t>
  </si>
  <si>
    <t>Asuransi</t>
  </si>
  <si>
    <t>SISA GAJI per-Bulan</t>
  </si>
  <si>
    <t>Angsuran</t>
  </si>
  <si>
    <t>Tahun : Bulan : Hari</t>
  </si>
  <si>
    <t>Admin</t>
  </si>
  <si>
    <t>Angsuran per-Bulan</t>
  </si>
  <si>
    <t>Margin</t>
  </si>
  <si>
    <t>Angka PELUNASAN</t>
  </si>
  <si>
    <t>:</t>
  </si>
  <si>
    <t>GAJI BERSIH</t>
  </si>
  <si>
    <t>STATUS PEMBIAYAAN</t>
  </si>
  <si>
    <t>USIA SAAT INI</t>
  </si>
  <si>
    <t>PELUNASAN KE</t>
  </si>
  <si>
    <t>NOPEN</t>
  </si>
  <si>
    <t>POS</t>
  </si>
  <si>
    <t>NAMA DEBITUR (KTP)</t>
  </si>
  <si>
    <t>SUMBER DANA</t>
  </si>
  <si>
    <t>MAK. TENOR</t>
  </si>
  <si>
    <t>USIA SAAT LUNAS</t>
  </si>
  <si>
    <t>MAK. PLAFON</t>
  </si>
  <si>
    <t>MAK. ANGSURAN</t>
  </si>
  <si>
    <t>PLAFON PENGAJUAN</t>
  </si>
  <si>
    <t>TGL. LAHIR DEB.</t>
  </si>
  <si>
    <t>JENIS PRODUK</t>
  </si>
  <si>
    <t>PLATINUM</t>
  </si>
  <si>
    <t>FLAT</t>
  </si>
  <si>
    <t>EFEKTIF</t>
  </si>
  <si>
    <t>ISI DATA DENGAN LENGKAP</t>
  </si>
  <si>
    <t>KELAHIRAN</t>
  </si>
  <si>
    <t>TENOR</t>
  </si>
  <si>
    <t>MARGIN</t>
  </si>
  <si>
    <t>TODAY</t>
  </si>
  <si>
    <t>Tenor Pengajuan</t>
  </si>
  <si>
    <t>ANALISA PERHITUNGAN</t>
  </si>
  <si>
    <t>STATUS ANALISA</t>
  </si>
  <si>
    <t>LUNAS :</t>
  </si>
  <si>
    <t>Ratio</t>
  </si>
  <si>
    <t>BY MUTASI</t>
  </si>
  <si>
    <t>Pot. Angsuran</t>
  </si>
  <si>
    <t>USIA</t>
  </si>
  <si>
    <t>MASUK</t>
  </si>
  <si>
    <t>KPRK</t>
  </si>
  <si>
    <t>KPC</t>
  </si>
  <si>
    <t>JUMLAH KPC</t>
  </si>
  <si>
    <t>MAK. ANGSURAN + EPOT</t>
  </si>
  <si>
    <t>EPOT</t>
  </si>
  <si>
    <t>Angsuran + EPOT</t>
  </si>
  <si>
    <t>PASTIKAN PENGISIAN SESUAI DATA PENGAJUAN</t>
  </si>
  <si>
    <t>ASAL KANTOR BAYAR</t>
  </si>
  <si>
    <t xml:space="preserve">TUJUAN KANTOR BAYAR </t>
  </si>
  <si>
    <t>Maksimal Tenor</t>
  </si>
  <si>
    <t>MAKSIMAL PLAFOND</t>
  </si>
  <si>
    <t>LAYANAN KPRK POS</t>
  </si>
  <si>
    <t>MAKS. PLAFON</t>
  </si>
  <si>
    <t>TERIMA BERSIH</t>
  </si>
  <si>
    <t>BIAYA &amp; TITIPAN</t>
  </si>
  <si>
    <t>RATE(TENOR;(1*(1,1667%))+(1/TENOR);-1;0;0;1)*12</t>
  </si>
  <si>
    <t>No</t>
  </si>
  <si>
    <t xml:space="preserve"> </t>
  </si>
  <si>
    <t>70 - 74</t>
  </si>
  <si>
    <t>75-79</t>
  </si>
  <si>
    <t>75-78</t>
  </si>
  <si>
    <t>75-77</t>
  </si>
  <si>
    <t>75-76</t>
  </si>
  <si>
    <t>75-75</t>
  </si>
  <si>
    <t>BANYUWANGI</t>
  </si>
  <si>
    <t>JEMBER</t>
  </si>
  <si>
    <t>BLITAR</t>
  </si>
  <si>
    <t>KEDIRI</t>
  </si>
  <si>
    <t>NGANJUK</t>
  </si>
  <si>
    <t>TULUNGAGUNG</t>
  </si>
  <si>
    <t>BANGKALAN</t>
  </si>
  <si>
    <t>PAMEKASAN</t>
  </si>
  <si>
    <t>SUMENEP</t>
  </si>
  <si>
    <t>LUMAJANG</t>
  </si>
  <si>
    <t>MALANG</t>
  </si>
  <si>
    <t>PASURUAN</t>
  </si>
  <si>
    <t>PROBOLINGGO</t>
  </si>
  <si>
    <t>BOJONEGORO</t>
  </si>
  <si>
    <t>JOMBANG</t>
  </si>
  <si>
    <t>LAMONGAN</t>
  </si>
  <si>
    <t>SIDOARJO</t>
  </si>
  <si>
    <t>TUBAN</t>
  </si>
  <si>
    <t>DENPASAR</t>
  </si>
  <si>
    <t>GIANYAR</t>
  </si>
  <si>
    <t>SINGARAJA</t>
  </si>
  <si>
    <t>TABANAN</t>
  </si>
  <si>
    <t>KUPANG</t>
  </si>
  <si>
    <t>BALIKPAPAN</t>
  </si>
  <si>
    <t>MAKASAR</t>
  </si>
  <si>
    <t>PALU</t>
  </si>
  <si>
    <t>KENDARI</t>
  </si>
  <si>
    <t>MANADO</t>
  </si>
  <si>
    <t>AMBOINA</t>
  </si>
  <si>
    <t>REG V</t>
  </si>
  <si>
    <t>REG VI</t>
  </si>
  <si>
    <t>TARGET FA</t>
  </si>
  <si>
    <t>P</t>
  </si>
  <si>
    <t>NO KTP</t>
  </si>
  <si>
    <t>No.Tlp :</t>
  </si>
  <si>
    <t>No Rek</t>
  </si>
  <si>
    <t>BANK</t>
  </si>
  <si>
    <t>JENIS KELAMIN</t>
  </si>
  <si>
    <t>JENIS PENSIUN</t>
  </si>
  <si>
    <t>BIAYA FLAGGING</t>
  </si>
  <si>
    <t>jenis pen</t>
  </si>
  <si>
    <t>round tahun jkw</t>
  </si>
  <si>
    <t>biaya</t>
  </si>
  <si>
    <t>BPR Perdana</t>
  </si>
  <si>
    <t>JUAL BPR</t>
  </si>
  <si>
    <t>BPR DAYA PERDANA NUSANTARA</t>
  </si>
  <si>
    <t>BPR BINTANG MITRA</t>
  </si>
  <si>
    <t>BPR ARTA WARU</t>
  </si>
  <si>
    <t>BPR DINAR PUSAKA</t>
  </si>
  <si>
    <t>BPR KOTA MADIUN</t>
  </si>
  <si>
    <t>BANK SAGA</t>
  </si>
  <si>
    <t>VENDOR BPR:</t>
  </si>
  <si>
    <t>FRONTING</t>
  </si>
  <si>
    <t>BPR 8</t>
  </si>
  <si>
    <t>BPR 9</t>
  </si>
  <si>
    <t>BPR 10</t>
  </si>
  <si>
    <t>BPR 11</t>
  </si>
  <si>
    <t>BPR 12</t>
  </si>
  <si>
    <t>BPR 13</t>
  </si>
  <si>
    <t>BPR 14</t>
  </si>
  <si>
    <t>BPR 15</t>
  </si>
  <si>
    <t>Provisi</t>
  </si>
  <si>
    <t>Nama BPR</t>
  </si>
  <si>
    <t>Biaya Admin</t>
  </si>
  <si>
    <t>Biaya Provisi</t>
  </si>
  <si>
    <t>BPR Kota Madiun</t>
  </si>
  <si>
    <t>Jasa Fronting Agent</t>
  </si>
  <si>
    <t>Biaya Asuransi</t>
  </si>
  <si>
    <t>Tabel Asuransi</t>
  </si>
  <si>
    <t>TASPEN</t>
  </si>
  <si>
    <t>AA7</t>
  </si>
  <si>
    <t>AA7+1</t>
  </si>
  <si>
    <t>Marketing</t>
  </si>
  <si>
    <t>Pak Rofiq</t>
  </si>
  <si>
    <t>E</t>
  </si>
  <si>
    <t>F</t>
  </si>
  <si>
    <t>G</t>
  </si>
  <si>
    <t>Kode</t>
  </si>
  <si>
    <t>Elvira</t>
  </si>
  <si>
    <t>extra fee</t>
  </si>
  <si>
    <t>fee postra</t>
  </si>
  <si>
    <t>fee bgp</t>
  </si>
  <si>
    <t>fee pos</t>
  </si>
  <si>
    <t>total fee</t>
  </si>
  <si>
    <t>multiplier %</t>
  </si>
  <si>
    <t>multiplier num</t>
  </si>
  <si>
    <t>Diskon tabel</t>
  </si>
  <si>
    <t>Tabel asuransi</t>
  </si>
  <si>
    <t>Mantap</t>
  </si>
  <si>
    <t>fee mantap</t>
  </si>
  <si>
    <t>fee ?</t>
  </si>
  <si>
    <t>BSI</t>
  </si>
  <si>
    <t>fee bsi</t>
  </si>
  <si>
    <t>BPRS Bhakti Sumekar</t>
  </si>
  <si>
    <t>Dody</t>
  </si>
  <si>
    <t>MPA</t>
  </si>
  <si>
    <t>TL :</t>
  </si>
  <si>
    <t>Hendra</t>
  </si>
  <si>
    <t>Bhakti Sumekar</t>
  </si>
  <si>
    <t>BSI Pamekasan</t>
  </si>
  <si>
    <t>premi Jamkrida</t>
  </si>
  <si>
    <t>Pencadangan</t>
  </si>
  <si>
    <t>+MPA/Dody</t>
  </si>
  <si>
    <t>Fee Fronting</t>
  </si>
  <si>
    <t>Premi Asuransi</t>
  </si>
  <si>
    <t>Verifikasi</t>
  </si>
  <si>
    <t>ST AISYAH</t>
  </si>
  <si>
    <t>Versi:1.0.19</t>
  </si>
  <si>
    <t>VERSI 20260629 - UMUM</t>
  </si>
  <si>
    <t>MANTAP</t>
  </si>
  <si>
    <t>SK TANGAN</t>
  </si>
  <si>
    <t>MAKS. PLAFON (FLAT)</t>
  </si>
  <si>
    <t>margin 1 tahun</t>
  </si>
  <si>
    <t>calculated by CGS</t>
  </si>
  <si>
    <t>Isi Kolom "WARNA HIJAU"</t>
  </si>
  <si>
    <t>CENTRAL GLOBAL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</si>
</sst>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%"/>
    <numFmt numFmtId="165" formatCode="_ * #,##0.00_ ;_ * \-#,##0.00_ ;_ * &quot;-&quot;??_ ;_ @_ "/>
    <numFmt numFmtId="166" formatCode="0.0000%"/>
    <numFmt numFmtId="167" formatCode="_ * #,##0_ ;_ * \-#,##0_ ;_ * &quot;-&quot;??_ ;_ @_ "/>
    <numFmt numFmtId="168" formatCode="_-* #,##0_-;\-* #,##0_-;_-* &quot;-&quot;??_-;_-@_-"/>
    <numFmt numFmtId="169" formatCode="_ * #,##0_ ;_ * \-#,##0_ ;_ * &quot;-&quot;_ ;_ @_ "/>
    <numFmt numFmtId="170" formatCode="0.0"/>
    <numFmt numFmtId="171" formatCode="_-* #,##0_-;\-* #,##0_-;_-* &quot;-&quot;_-;_-@_-"/>
    <numFmt numFmtId="172" formatCode="0.0%"/>
    <numFmt numFmtId="173" formatCode="0.0000"/>
    <numFmt numFmtId="174" formatCode="yy:mm:dd"/>
    <numFmt numFmtId="175" formatCode="[$-421]dd\ mmmm\ yyyy;@"/>
  </numFmts>
  <fonts count="69" x14ac:knownFonts="1">
    <font>
      <sz val="11"/>
      <name val="Calibri"/>
    </font>
    <font>
      <sz val="11"/>
      <name val="Calibri"/>
      <family val="2"/>
    </font>
    <font>
      <sz val="6"/>
      <name val="Arial Narrow"/>
      <family val="2"/>
    </font>
    <font>
      <sz val="6"/>
      <name val="Arial Narrow"/>
      <family val="2"/>
    </font>
    <font>
      <sz val="6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name val="Calibri"/>
      <family val="2"/>
    </font>
    <font>
      <b/>
      <sz val="6"/>
      <color rgb="FF000000"/>
      <name val="Calibri"/>
      <family val="2"/>
    </font>
    <font>
      <b/>
      <sz val="6"/>
      <color rgb="FF000000"/>
      <name val="Calibri"/>
      <family val="2"/>
    </font>
    <font>
      <b/>
      <sz val="7"/>
      <color rgb="FF000000"/>
      <name val="Calibri"/>
      <family val="2"/>
    </font>
    <font>
      <b/>
      <sz val="8"/>
      <color rgb="FF000000"/>
      <name val="Calibri"/>
      <family val="2"/>
    </font>
    <font>
      <sz val="6"/>
      <color rgb="FFFFFFFF"/>
      <name val="Arial Narrow"/>
      <family val="2"/>
    </font>
    <font>
      <sz val="6"/>
      <color rgb="FF000000"/>
      <name val="Calibri"/>
      <family val="2"/>
    </font>
    <font>
      <sz val="6"/>
      <name val="Calibri"/>
      <family val="2"/>
    </font>
    <font>
      <sz val="6"/>
      <name val="Calibri"/>
      <family val="2"/>
    </font>
    <font>
      <sz val="7"/>
      <name val="Calibri"/>
      <family val="2"/>
    </font>
    <font>
      <sz val="11"/>
      <name val="Calibri"/>
      <family val="2"/>
    </font>
    <font>
      <sz val="6"/>
      <color rgb="FF000000"/>
      <name val="Calibri"/>
      <family val="2"/>
    </font>
    <font>
      <b/>
      <sz val="18"/>
      <color rgb="FF000000"/>
      <name val="Calibri"/>
      <family val="2"/>
    </font>
    <font>
      <sz val="6"/>
      <color rgb="FF000000"/>
      <name val="Calibri"/>
      <family val="2"/>
    </font>
    <font>
      <b/>
      <sz val="6"/>
      <color rgb="FFFF0000"/>
      <name val="Arial Narrow"/>
      <family val="2"/>
    </font>
    <font>
      <sz val="6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6"/>
      <color rgb="FFFF0000"/>
      <name val="Calibri"/>
      <family val="2"/>
    </font>
    <font>
      <b/>
      <i/>
      <sz val="8"/>
      <color rgb="FFFF0000"/>
      <name val="Calibri"/>
      <family val="2"/>
    </font>
    <font>
      <b/>
      <sz val="7"/>
      <name val="Calibri"/>
      <family val="2"/>
    </font>
    <font>
      <sz val="8"/>
      <color rgb="FF000000"/>
      <name val="Calibri"/>
      <family val="2"/>
    </font>
    <font>
      <b/>
      <sz val="6"/>
      <name val="Arial Narrow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b/>
      <sz val="12"/>
      <color rgb="FFFFFFFF"/>
      <name val="Calibri"/>
      <family val="2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sz val="8"/>
      <color rgb="FF0000FF"/>
      <name val="Calibri"/>
      <family val="2"/>
    </font>
    <font>
      <b/>
      <i/>
      <sz val="8"/>
      <color rgb="FF000000"/>
      <name val="Calibri"/>
      <family val="2"/>
    </font>
    <font>
      <b/>
      <sz val="8"/>
      <color rgb="FFFFFFFF"/>
      <name val="Calibri"/>
      <family val="2"/>
    </font>
    <font>
      <sz val="8"/>
      <color rgb="FFFFFFFF"/>
      <name val="Calibri"/>
      <family val="2"/>
    </font>
    <font>
      <b/>
      <sz val="11"/>
      <color rgb="FFFFFFFF"/>
      <name val="Calibri"/>
      <family val="2"/>
    </font>
    <font>
      <b/>
      <sz val="8"/>
      <name val="Calibri"/>
      <family val="2"/>
    </font>
    <font>
      <b/>
      <sz val="14"/>
      <color rgb="FF0000FF"/>
      <name val="Calibri"/>
      <family val="2"/>
    </font>
    <font>
      <b/>
      <i/>
      <sz val="14"/>
      <color rgb="FFFF0000"/>
      <name val="Calibri"/>
      <family val="2"/>
    </font>
    <font>
      <b/>
      <sz val="10"/>
      <color rgb="FF0000FF"/>
      <name val="Calibri"/>
      <family val="2"/>
    </font>
    <font>
      <b/>
      <sz val="10"/>
      <color rgb="FF0000FF"/>
      <name val="Arial Black"/>
      <family val="2"/>
    </font>
    <font>
      <b/>
      <sz val="8"/>
      <color rgb="FF0000FF"/>
      <name val="Calibri"/>
      <family val="2"/>
    </font>
    <font>
      <b/>
      <sz val="12"/>
      <color rgb="FF0000FF"/>
      <name val="Calibri"/>
      <family val="2"/>
    </font>
    <font>
      <b/>
      <sz val="10"/>
      <color rgb="FFFFFFFF"/>
      <name val="Calibri"/>
      <family val="2"/>
    </font>
    <font>
      <b/>
      <sz val="10"/>
      <color rgb="FFFF0000"/>
      <name val="Calibri"/>
      <family val="2"/>
    </font>
    <font>
      <b/>
      <sz val="5"/>
      <name val="Calibri"/>
      <family val="2"/>
    </font>
    <font>
      <b/>
      <i/>
      <sz val="8"/>
      <color rgb="FF16365C"/>
      <name val="Calibri"/>
      <family val="2"/>
    </font>
    <font>
      <b/>
      <i/>
      <sz val="18"/>
      <color rgb="FFFFFFFF"/>
      <name val="Arial"/>
      <family val="2"/>
    </font>
    <font>
      <sz val="7"/>
      <color rgb="FF000000"/>
      <name val="Calibri"/>
      <family val="2"/>
    </font>
    <font>
      <sz val="7"/>
      <color rgb="FF000000"/>
      <name val="Calibri"/>
      <family val="2"/>
    </font>
    <font>
      <u/>
      <sz val="11"/>
      <color rgb="FF0000FF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  <font>
      <b/>
      <sz val="18"/>
      <name val="Calibri"/>
      <family val="2"/>
    </font>
    <font>
      <b/>
      <sz val="7"/>
      <name val="Calibri"/>
      <family val="2"/>
    </font>
    <font>
      <sz val="8"/>
      <color theme="0"/>
      <name val="Calibri"/>
      <family val="2"/>
    </font>
    <font>
      <b/>
      <i/>
      <sz val="8"/>
      <name val="Calibri"/>
      <family val="2"/>
    </font>
    <font>
      <b/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double">
        <color rgb="FFBFBFBF"/>
      </left>
      <right style="double">
        <color rgb="FFBFBFBF"/>
      </right>
      <top style="double">
        <color rgb="FFBFBFBF"/>
      </top>
      <bottom style="double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BFBFBF"/>
      </left>
      <right/>
      <top style="double">
        <color rgb="FFBFBFBF"/>
      </top>
      <bottom/>
      <diagonal/>
    </border>
    <border>
      <left/>
      <right style="double">
        <color rgb="FFBFBFBF"/>
      </right>
      <top style="double">
        <color rgb="FFBFBFBF"/>
      </top>
      <bottom/>
      <diagonal/>
    </border>
    <border>
      <left style="double">
        <color rgb="FFBFBFBF"/>
      </left>
      <right/>
      <top/>
      <bottom style="double">
        <color rgb="FFBFBFBF"/>
      </bottom>
      <diagonal/>
    </border>
    <border>
      <left/>
      <right style="double">
        <color rgb="FFBFBFBF"/>
      </right>
      <top/>
      <bottom style="double">
        <color rgb="FFBFBFBF"/>
      </bottom>
      <diagonal/>
    </border>
    <border>
      <left style="double">
        <color rgb="FFBFBFBF"/>
      </left>
      <right/>
      <top style="double">
        <color rgb="FFBFBFBF"/>
      </top>
      <bottom style="double">
        <color rgb="FFBFBFBF"/>
      </bottom>
      <diagonal/>
    </border>
    <border>
      <left/>
      <right style="double">
        <color rgb="FFBFBFBF"/>
      </right>
      <top style="double">
        <color rgb="FFBFBFBF"/>
      </top>
      <bottom style="double">
        <color rgb="FFBFBFBF"/>
      </bottom>
      <diagonal/>
    </border>
    <border>
      <left/>
      <right/>
      <top style="double">
        <color rgb="FFBFBFBF"/>
      </top>
      <bottom style="double">
        <color rgb="FFBFBFBF"/>
      </bottom>
      <diagonal/>
    </border>
    <border>
      <left style="double">
        <color rgb="FFFF0000"/>
      </left>
      <right style="thin">
        <color rgb="FFFFFFFF"/>
      </right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/>
      <top style="double">
        <color rgb="FFBFBFB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6">
    <xf numFmtId="0" fontId="0" fillId="0" borderId="0">
      <alignment vertical="center"/>
    </xf>
    <xf numFmtId="165" fontId="28" fillId="0" borderId="0">
      <protection locked="0"/>
    </xf>
    <xf numFmtId="9" fontId="28" fillId="0" borderId="0">
      <protection locked="0"/>
    </xf>
    <xf numFmtId="169" fontId="28" fillId="0" borderId="0">
      <protection locked="0"/>
    </xf>
    <xf numFmtId="9" fontId="28" fillId="0" borderId="0">
      <protection locked="0"/>
    </xf>
    <xf numFmtId="0" fontId="61" fillId="0" borderId="0">
      <protection locked="0"/>
    </xf>
  </cellStyleXfs>
  <cellXfs count="258">
    <xf numFmtId="0" fontId="0" fillId="0" borderId="0" xfId="0">
      <alignment vertical="center"/>
    </xf>
    <xf numFmtId="164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165" fontId="2" fillId="0" borderId="0" xfId="1" applyFont="1" applyAlignment="1" applyProtection="1">
      <alignment horizontal="center" vertical="center"/>
    </xf>
    <xf numFmtId="166" fontId="2" fillId="0" borderId="0" xfId="0" applyNumberFormat="1" applyFont="1">
      <alignment vertical="center"/>
    </xf>
    <xf numFmtId="166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65" fontId="3" fillId="0" borderId="0" xfId="1" applyFont="1" applyAlignment="1" applyProtection="1">
      <alignment horizontal="left" vertical="center"/>
    </xf>
    <xf numFmtId="165" fontId="4" fillId="0" borderId="0" xfId="1" applyFont="1" applyAlignment="1" applyProtection="1">
      <alignment horizontal="left" vertical="center"/>
    </xf>
    <xf numFmtId="167" fontId="5" fillId="0" borderId="0" xfId="1" applyNumberFormat="1" applyFont="1" applyAlignment="1" applyProtection="1">
      <alignment horizontal="left" vertical="center"/>
    </xf>
    <xf numFmtId="167" fontId="5" fillId="0" borderId="0" xfId="1" applyNumberFormat="1" applyFont="1" applyAlignment="1" applyProtection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65" fontId="4" fillId="0" borderId="1" xfId="1" applyFont="1" applyBorder="1" applyAlignment="1" applyProtection="1">
      <alignment horizontal="center" vertical="center"/>
    </xf>
    <xf numFmtId="167" fontId="4" fillId="0" borderId="1" xfId="1" applyNumberFormat="1" applyFont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168" fontId="15" fillId="0" borderId="0" xfId="1" applyNumberFormat="1" applyFont="1" applyAlignment="1" applyProtection="1">
      <alignment vertical="center"/>
    </xf>
    <xf numFmtId="167" fontId="16" fillId="0" borderId="0" xfId="1" applyNumberFormat="1" applyFont="1" applyAlignment="1" applyProtection="1">
      <alignment horizontal="left" vertical="center"/>
    </xf>
    <xf numFmtId="0" fontId="17" fillId="0" borderId="0" xfId="0" applyFont="1" applyAlignment="1">
      <alignment horizontal="left" vertical="center"/>
    </xf>
    <xf numFmtId="14" fontId="17" fillId="0" borderId="2" xfId="2" applyNumberFormat="1" applyFont="1" applyBorder="1" applyAlignment="1" applyProtection="1">
      <alignment horizontal="left" vertical="center"/>
    </xf>
    <xf numFmtId="169" fontId="17" fillId="0" borderId="2" xfId="3" applyFont="1" applyBorder="1" applyAlignment="1" applyProtection="1">
      <alignment horizontal="left" vertical="center"/>
    </xf>
    <xf numFmtId="10" fontId="10" fillId="0" borderId="0" xfId="2" applyNumberFormat="1" applyFont="1" applyAlignment="1" applyProtection="1">
      <alignment horizontal="center" vertical="center" wrapText="1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>
      <alignment vertical="center"/>
    </xf>
    <xf numFmtId="164" fontId="9" fillId="2" borderId="0" xfId="0" applyNumberFormat="1" applyFont="1" applyFill="1">
      <alignment vertical="center"/>
    </xf>
    <xf numFmtId="170" fontId="20" fillId="0" borderId="0" xfId="0" applyNumberFormat="1" applyFont="1" applyAlignment="1">
      <alignment horizontal="center" vertical="center"/>
    </xf>
    <xf numFmtId="10" fontId="10" fillId="0" borderId="0" xfId="2" applyNumberFormat="1" applyFont="1" applyAlignment="1" applyProtection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14" fontId="17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69" fontId="10" fillId="0" borderId="0" xfId="3" applyFont="1" applyAlignment="1" applyProtection="1">
      <alignment horizontal="right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10" fillId="0" borderId="1" xfId="0" applyFont="1" applyBorder="1" applyAlignment="1">
      <alignment horizontal="left" vertical="center"/>
    </xf>
    <xf numFmtId="0" fontId="18" fillId="0" borderId="1" xfId="2" applyNumberFormat="1" applyFont="1" applyBorder="1" applyAlignment="1" applyProtection="1">
      <alignment horizontal="center" vertical="center"/>
    </xf>
    <xf numFmtId="0" fontId="24" fillId="0" borderId="0" xfId="0" applyFont="1" applyAlignment="1">
      <alignment horizontal="left" vertical="center"/>
    </xf>
    <xf numFmtId="2" fontId="18" fillId="0" borderId="0" xfId="0" applyNumberFormat="1" applyFont="1" applyAlignment="1">
      <alignment horizontal="center" vertical="center"/>
    </xf>
    <xf numFmtId="164" fontId="19" fillId="0" borderId="0" xfId="0" applyNumberFormat="1" applyFont="1">
      <alignment vertical="center"/>
    </xf>
    <xf numFmtId="0" fontId="25" fillId="0" borderId="0" xfId="0" applyFont="1" applyAlignment="1"/>
    <xf numFmtId="166" fontId="10" fillId="0" borderId="0" xfId="2" applyNumberFormat="1" applyFont="1" applyAlignment="1" applyProtection="1">
      <alignment horizontal="center" vertical="center"/>
    </xf>
    <xf numFmtId="0" fontId="1" fillId="0" borderId="0" xfId="0" quotePrefix="1" applyFont="1">
      <alignment vertical="center"/>
    </xf>
    <xf numFmtId="3" fontId="25" fillId="0" borderId="0" xfId="0" applyNumberFormat="1" applyFont="1" applyAlignment="1"/>
    <xf numFmtId="4" fontId="25" fillId="0" borderId="0" xfId="0" applyNumberFormat="1" applyFont="1" applyAlignment="1"/>
    <xf numFmtId="169" fontId="25" fillId="0" borderId="0" xfId="3" applyFont="1" applyProtection="1"/>
    <xf numFmtId="0" fontId="5" fillId="0" borderId="0" xfId="0" applyFont="1">
      <alignment vertical="center"/>
    </xf>
    <xf numFmtId="166" fontId="26" fillId="0" borderId="0" xfId="4" applyNumberFormat="1" applyFont="1" applyAlignment="1" applyProtection="1">
      <alignment horizontal="center" vertical="center"/>
    </xf>
    <xf numFmtId="10" fontId="10" fillId="0" borderId="0" xfId="2" applyNumberFormat="1" applyFont="1" applyAlignment="1" applyProtection="1">
      <alignment horizontal="right" vertical="center"/>
    </xf>
    <xf numFmtId="169" fontId="7" fillId="0" borderId="0" xfId="3" applyFont="1" applyAlignment="1" applyProtection="1">
      <alignment vertical="center"/>
    </xf>
    <xf numFmtId="0" fontId="9" fillId="0" borderId="0" xfId="0" applyFont="1">
      <alignment vertical="center"/>
    </xf>
    <xf numFmtId="164" fontId="9" fillId="0" borderId="0" xfId="0" applyNumberFormat="1" applyFont="1">
      <alignment vertical="center"/>
    </xf>
    <xf numFmtId="171" fontId="27" fillId="0" borderId="0" xfId="0" applyNumberFormat="1" applyFont="1">
      <alignment vertical="center"/>
    </xf>
    <xf numFmtId="0" fontId="11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169" fontId="28" fillId="0" borderId="0" xfId="3">
      <protection locked="0"/>
    </xf>
    <xf numFmtId="169" fontId="7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166" fontId="10" fillId="0" borderId="0" xfId="2" applyNumberFormat="1" applyFont="1" applyAlignment="1" applyProtection="1">
      <alignment horizontal="center" vertical="center" wrapText="1"/>
    </xf>
    <xf numFmtId="10" fontId="29" fillId="0" borderId="1" xfId="2" applyNumberFormat="1" applyFont="1" applyBorder="1" applyAlignment="1" applyProtection="1">
      <alignment horizontal="center" vertical="center"/>
    </xf>
    <xf numFmtId="0" fontId="10" fillId="0" borderId="0" xfId="0" applyFont="1" applyAlignment="1">
      <alignment horizontal="right" vertical="center"/>
    </xf>
    <xf numFmtId="169" fontId="7" fillId="0" borderId="0" xfId="3" applyFont="1" applyAlignment="1" applyProtection="1">
      <alignment horizontal="center" vertical="center"/>
    </xf>
    <xf numFmtId="0" fontId="6" fillId="0" borderId="0" xfId="0" applyFont="1" applyAlignment="1">
      <alignment horizontal="left" vertical="center"/>
    </xf>
    <xf numFmtId="167" fontId="10" fillId="0" borderId="0" xfId="1" applyNumberFormat="1" applyFont="1" applyAlignment="1" applyProtection="1">
      <alignment horizontal="right" vertical="center"/>
    </xf>
    <xf numFmtId="10" fontId="22" fillId="0" borderId="0" xfId="2" applyNumberFormat="1" applyFont="1" applyAlignment="1" applyProtection="1">
      <alignment horizontal="center" vertical="center" wrapText="1"/>
    </xf>
    <xf numFmtId="10" fontId="29" fillId="0" borderId="0" xfId="2" applyNumberFormat="1" applyFont="1" applyAlignment="1" applyProtection="1">
      <alignment horizontal="center" vertical="center"/>
    </xf>
    <xf numFmtId="0" fontId="12" fillId="0" borderId="0" xfId="0" applyFont="1">
      <alignment vertical="center"/>
    </xf>
    <xf numFmtId="0" fontId="10" fillId="0" borderId="0" xfId="0" applyFont="1">
      <alignment vertical="center"/>
    </xf>
    <xf numFmtId="172" fontId="22" fillId="0" borderId="0" xfId="2" applyNumberFormat="1" applyFont="1" applyAlignment="1" applyProtection="1">
      <alignment horizontal="left" vertical="center"/>
    </xf>
    <xf numFmtId="169" fontId="12" fillId="0" borderId="0" xfId="0" applyNumberFormat="1" applyFont="1">
      <alignment vertical="center"/>
    </xf>
    <xf numFmtId="169" fontId="30" fillId="0" borderId="0" xfId="3" applyFont="1" applyAlignment="1" applyProtection="1">
      <alignment horizontal="right" vertical="center"/>
    </xf>
    <xf numFmtId="0" fontId="12" fillId="0" borderId="1" xfId="0" applyFont="1" applyBorder="1">
      <alignment vertical="center"/>
    </xf>
    <xf numFmtId="169" fontId="22" fillId="0" borderId="1" xfId="3" applyFont="1" applyBorder="1" applyAlignment="1" applyProtection="1">
      <alignment horizontal="center" vertical="center"/>
    </xf>
    <xf numFmtId="10" fontId="12" fillId="0" borderId="1" xfId="0" applyNumberFormat="1" applyFont="1" applyBorder="1">
      <alignment vertical="center"/>
    </xf>
    <xf numFmtId="167" fontId="25" fillId="3" borderId="0" xfId="1" applyNumberFormat="1" applyFont="1" applyFill="1" applyAlignment="1" applyProtection="1">
      <alignment horizontal="right" vertical="center"/>
    </xf>
    <xf numFmtId="164" fontId="31" fillId="3" borderId="0" xfId="0" applyNumberFormat="1" applyFont="1" applyFill="1" applyProtection="1">
      <alignment vertical="center"/>
      <protection hidden="1"/>
    </xf>
    <xf numFmtId="0" fontId="2" fillId="0" borderId="0" xfId="1" applyNumberFormat="1" applyFont="1" applyAlignment="1" applyProtection="1">
      <alignment horizontal="center" vertical="center"/>
    </xf>
    <xf numFmtId="10" fontId="12" fillId="0" borderId="0" xfId="0" applyNumberFormat="1" applyFont="1">
      <alignment vertical="center"/>
    </xf>
    <xf numFmtId="0" fontId="32" fillId="0" borderId="0" xfId="0" applyFont="1">
      <alignment vertical="center"/>
    </xf>
    <xf numFmtId="173" fontId="12" fillId="0" borderId="1" xfId="0" applyNumberFormat="1" applyFont="1" applyBorder="1">
      <alignment vertical="center"/>
    </xf>
    <xf numFmtId="173" fontId="12" fillId="0" borderId="0" xfId="0" applyNumberFormat="1" applyFont="1">
      <alignment vertical="center"/>
    </xf>
    <xf numFmtId="165" fontId="33" fillId="0" borderId="0" xfId="1" applyFont="1" applyAlignment="1" applyProtection="1">
      <alignment horizontal="left" vertical="center"/>
    </xf>
    <xf numFmtId="167" fontId="32" fillId="0" borderId="0" xfId="1" applyNumberFormat="1" applyFont="1" applyAlignment="1" applyProtection="1">
      <alignment vertical="center"/>
    </xf>
    <xf numFmtId="166" fontId="29" fillId="0" borderId="0" xfId="2" applyNumberFormat="1" applyFont="1" applyAlignment="1" applyProtection="1">
      <alignment horizontal="center" vertical="center"/>
    </xf>
    <xf numFmtId="10" fontId="12" fillId="0" borderId="0" xfId="2" applyNumberFormat="1" applyFont="1" applyAlignment="1" applyProtection="1">
      <alignment horizontal="center" vertical="center" wrapText="1"/>
    </xf>
    <xf numFmtId="10" fontId="7" fillId="0" borderId="0" xfId="2" applyNumberFormat="1" applyFont="1" applyAlignment="1" applyProtection="1">
      <alignment horizontal="center" vertical="center" wrapText="1"/>
    </xf>
    <xf numFmtId="169" fontId="18" fillId="0" borderId="0" xfId="3" applyFont="1" applyAlignment="1" applyProtection="1">
      <alignment vertical="center"/>
    </xf>
    <xf numFmtId="169" fontId="7" fillId="0" borderId="0" xfId="3" applyFont="1" applyAlignment="1" applyProtection="1">
      <alignment horizontal="center" vertical="center" wrapText="1"/>
    </xf>
    <xf numFmtId="167" fontId="7" fillId="0" borderId="0" xfId="1" applyNumberFormat="1" applyFont="1" applyAlignment="1" applyProtection="1">
      <alignment vertical="center"/>
    </xf>
    <xf numFmtId="1" fontId="10" fillId="0" borderId="0" xfId="3" applyNumberFormat="1" applyFont="1" applyAlignment="1" applyProtection="1">
      <alignment horizontal="center" vertical="center" wrapText="1"/>
    </xf>
    <xf numFmtId="165" fontId="15" fillId="0" borderId="0" xfId="1" applyFont="1" applyAlignment="1" applyProtection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165" fontId="35" fillId="4" borderId="3" xfId="1" applyFont="1" applyFill="1" applyBorder="1" applyAlignment="1" applyProtection="1">
      <alignment horizontal="center" vertical="center"/>
    </xf>
    <xf numFmtId="166" fontId="36" fillId="4" borderId="4" xfId="3" applyNumberFormat="1" applyFont="1" applyFill="1" applyBorder="1" applyAlignment="1" applyProtection="1">
      <alignment vertical="center"/>
    </xf>
    <xf numFmtId="166" fontId="36" fillId="4" borderId="5" xfId="3" applyNumberFormat="1" applyFont="1" applyFill="1" applyBorder="1" applyAlignment="1" applyProtection="1">
      <alignment vertical="center"/>
    </xf>
    <xf numFmtId="166" fontId="36" fillId="4" borderId="5" xfId="3" applyNumberFormat="1" applyFont="1" applyFill="1" applyBorder="1" applyAlignment="1" applyProtection="1">
      <alignment horizontal="center" vertical="center"/>
    </xf>
    <xf numFmtId="166" fontId="36" fillId="4" borderId="6" xfId="3" applyNumberFormat="1" applyFont="1" applyFill="1" applyBorder="1" applyAlignment="1" applyProtection="1">
      <alignment vertical="center"/>
    </xf>
    <xf numFmtId="166" fontId="26" fillId="0" borderId="0" xfId="2" applyNumberFormat="1" applyFont="1" applyAlignment="1" applyProtection="1">
      <alignment horizontal="center" vertical="center"/>
    </xf>
    <xf numFmtId="165" fontId="35" fillId="4" borderId="7" xfId="1" applyFont="1" applyFill="1" applyBorder="1" applyAlignment="1" applyProtection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5" fillId="4" borderId="1" xfId="1" applyNumberFormat="1" applyFont="1" applyFill="1" applyBorder="1" applyAlignment="1" applyProtection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" xfId="1" applyNumberFormat="1" applyFont="1" applyFill="1" applyBorder="1" applyAlignment="1" applyProtection="1">
      <alignment horizontal="center" vertical="center"/>
    </xf>
    <xf numFmtId="165" fontId="34" fillId="0" borderId="0" xfId="1" applyFont="1" applyAlignment="1" applyProtection="1">
      <alignment horizontal="center" vertical="center"/>
    </xf>
    <xf numFmtId="166" fontId="34" fillId="0" borderId="0" xfId="0" applyNumberFormat="1" applyFont="1" applyAlignment="1">
      <alignment horizontal="right" vertical="center"/>
    </xf>
    <xf numFmtId="166" fontId="34" fillId="0" borderId="0" xfId="2" applyNumberFormat="1" applyFont="1" applyAlignment="1" applyProtection="1">
      <alignment vertical="center"/>
    </xf>
    <xf numFmtId="166" fontId="24" fillId="0" borderId="0" xfId="0" applyNumberFormat="1" applyFont="1">
      <alignment vertical="center"/>
    </xf>
    <xf numFmtId="0" fontId="36" fillId="4" borderId="8" xfId="1" applyNumberFormat="1" applyFont="1" applyFill="1" applyBorder="1" applyAlignment="1" applyProtection="1">
      <alignment horizontal="center" vertical="center"/>
    </xf>
    <xf numFmtId="164" fontId="34" fillId="0" borderId="8" xfId="2" applyNumberFormat="1" applyFont="1" applyBorder="1" applyAlignment="1" applyProtection="1">
      <alignment horizontal="center" vertical="center"/>
    </xf>
    <xf numFmtId="166" fontId="24" fillId="0" borderId="9" xfId="2" applyNumberFormat="1" applyFont="1" applyBorder="1" applyAlignment="1" applyProtection="1">
      <alignment horizontal="center" vertical="center"/>
    </xf>
    <xf numFmtId="164" fontId="24" fillId="0" borderId="0" xfId="2" applyNumberFormat="1" applyFont="1" applyAlignment="1" applyProtection="1">
      <alignment horizontal="center" vertical="center"/>
    </xf>
    <xf numFmtId="164" fontId="34" fillId="5" borderId="8" xfId="2" applyNumberFormat="1" applyFont="1" applyFill="1" applyBorder="1" applyAlignment="1" applyProtection="1">
      <alignment horizontal="center" vertical="center"/>
    </xf>
    <xf numFmtId="0" fontId="1" fillId="0" borderId="10" xfId="0" applyFont="1" applyBorder="1">
      <alignment vertical="center"/>
    </xf>
    <xf numFmtId="166" fontId="24" fillId="0" borderId="11" xfId="2" applyNumberFormat="1" applyFont="1" applyBorder="1" applyAlignment="1" applyProtection="1">
      <alignment horizontal="center" vertical="center"/>
    </xf>
    <xf numFmtId="0" fontId="1" fillId="0" borderId="8" xfId="0" quotePrefix="1" applyFont="1" applyBorder="1">
      <alignment vertical="center"/>
    </xf>
    <xf numFmtId="0" fontId="1" fillId="0" borderId="8" xfId="0" applyFont="1" applyBorder="1">
      <alignment vertical="center"/>
    </xf>
    <xf numFmtId="0" fontId="1" fillId="0" borderId="12" xfId="0" applyFont="1" applyBorder="1">
      <alignment vertical="center"/>
    </xf>
    <xf numFmtId="164" fontId="24" fillId="0" borderId="8" xfId="2" applyNumberFormat="1" applyFont="1" applyBorder="1" applyAlignment="1" applyProtection="1">
      <alignment horizontal="center" vertical="center"/>
    </xf>
    <xf numFmtId="169" fontId="8" fillId="0" borderId="0" xfId="3" applyFont="1" applyAlignment="1" applyProtection="1">
      <alignment vertical="center"/>
    </xf>
    <xf numFmtId="0" fontId="37" fillId="0" borderId="0" xfId="0" applyFont="1">
      <alignment vertical="center"/>
    </xf>
    <xf numFmtId="167" fontId="38" fillId="0" borderId="0" xfId="1" applyNumberFormat="1" applyFont="1" applyAlignment="1" applyProtection="1">
      <alignment vertical="center"/>
    </xf>
    <xf numFmtId="167" fontId="13" fillId="0" borderId="0" xfId="1" applyNumberFormat="1" applyFont="1" applyAlignment="1" applyProtection="1">
      <alignment vertical="center"/>
    </xf>
    <xf numFmtId="167" fontId="42" fillId="0" borderId="0" xfId="5" applyNumberFormat="1" applyFont="1" applyAlignment="1" applyProtection="1">
      <alignment vertical="center"/>
    </xf>
    <xf numFmtId="0" fontId="4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67" fontId="45" fillId="3" borderId="0" xfId="1" applyNumberFormat="1" applyFont="1" applyFill="1" applyAlignment="1" applyProtection="1">
      <alignment vertical="center"/>
    </xf>
    <xf numFmtId="164" fontId="46" fillId="3" borderId="0" xfId="0" applyNumberFormat="1" applyFont="1" applyFill="1">
      <alignment vertical="center"/>
    </xf>
    <xf numFmtId="0" fontId="43" fillId="7" borderId="0" xfId="3" applyNumberFormat="1" applyFont="1" applyFill="1" applyAlignment="1" applyProtection="1">
      <alignment horizontal="right" vertical="center"/>
    </xf>
    <xf numFmtId="4" fontId="47" fillId="4" borderId="19" xfId="0" applyNumberFormat="1" applyFont="1" applyFill="1" applyBorder="1" applyAlignment="1">
      <alignment horizontal="center" vertical="center"/>
    </xf>
    <xf numFmtId="0" fontId="21" fillId="0" borderId="17" xfId="0" applyFont="1" applyBorder="1">
      <alignment vertical="center"/>
    </xf>
    <xf numFmtId="0" fontId="47" fillId="4" borderId="19" xfId="0" applyFont="1" applyFill="1" applyBorder="1" applyAlignment="1">
      <alignment horizontal="center" vertical="center"/>
    </xf>
    <xf numFmtId="0" fontId="47" fillId="0" borderId="19" xfId="0" applyFont="1" applyBorder="1" applyAlignment="1" applyProtection="1">
      <alignment horizontal="center" vertical="center"/>
      <protection hidden="1"/>
    </xf>
    <xf numFmtId="0" fontId="49" fillId="0" borderId="17" xfId="0" applyFont="1" applyBorder="1" applyAlignment="1">
      <alignment horizontal="right" vertical="center"/>
    </xf>
    <xf numFmtId="166" fontId="38" fillId="0" borderId="0" xfId="2" applyNumberFormat="1" applyFont="1" applyAlignment="1" applyProtection="1">
      <alignment vertical="center"/>
    </xf>
    <xf numFmtId="169" fontId="13" fillId="0" borderId="0" xfId="0" applyNumberFormat="1" applyFont="1">
      <alignment vertical="center"/>
    </xf>
    <xf numFmtId="169" fontId="8" fillId="0" borderId="0" xfId="0" applyNumberFormat="1" applyFont="1">
      <alignment vertical="center"/>
    </xf>
    <xf numFmtId="169" fontId="47" fillId="0" borderId="20" xfId="3" applyFont="1" applyBorder="1" applyAlignment="1" applyProtection="1">
      <alignment horizontal="left" vertical="center"/>
      <protection hidden="1"/>
    </xf>
    <xf numFmtId="4" fontId="35" fillId="4" borderId="19" xfId="0" applyNumberFormat="1" applyFont="1" applyFill="1" applyBorder="1" applyAlignment="1">
      <alignment horizontal="center" vertical="center"/>
    </xf>
    <xf numFmtId="9" fontId="47" fillId="4" borderId="19" xfId="0" applyNumberFormat="1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75" fontId="50" fillId="0" borderId="26" xfId="0" applyNumberFormat="1" applyFont="1" applyBorder="1" applyAlignment="1" applyProtection="1">
      <alignment horizontal="center" vertical="center"/>
      <protection hidden="1"/>
    </xf>
    <xf numFmtId="0" fontId="35" fillId="4" borderId="19" xfId="0" applyFont="1" applyFill="1" applyBorder="1" applyAlignment="1">
      <alignment horizontal="center" vertical="center"/>
    </xf>
    <xf numFmtId="10" fontId="13" fillId="0" borderId="19" xfId="2" applyNumberFormat="1" applyFont="1" applyBorder="1" applyAlignment="1" applyProtection="1">
      <alignment horizontal="center" vertical="center"/>
      <protection hidden="1"/>
    </xf>
    <xf numFmtId="4" fontId="51" fillId="0" borderId="25" xfId="0" applyNumberFormat="1" applyFont="1" applyBorder="1" applyAlignment="1">
      <alignment horizontal="center" vertical="center"/>
    </xf>
    <xf numFmtId="169" fontId="47" fillId="0" borderId="19" xfId="0" applyNumberFormat="1" applyFont="1" applyBorder="1">
      <alignment vertical="center"/>
    </xf>
    <xf numFmtId="10" fontId="10" fillId="0" borderId="0" xfId="2" applyNumberFormat="1" applyFont="1" applyAlignment="1" applyProtection="1">
      <alignment horizontal="center" vertical="center"/>
    </xf>
    <xf numFmtId="165" fontId="47" fillId="4" borderId="25" xfId="1" applyFont="1" applyFill="1" applyBorder="1" applyAlignment="1" applyProtection="1">
      <alignment vertical="center"/>
    </xf>
    <xf numFmtId="165" fontId="47" fillId="4" borderId="26" xfId="1" applyFont="1" applyFill="1" applyBorder="1" applyAlignment="1" applyProtection="1">
      <alignment horizontal="right" vertical="center"/>
    </xf>
    <xf numFmtId="1" fontId="13" fillId="0" borderId="19" xfId="0" applyNumberFormat="1" applyFont="1" applyBorder="1" applyAlignment="1" applyProtection="1">
      <alignment horizontal="center" vertical="center"/>
      <protection hidden="1"/>
    </xf>
    <xf numFmtId="4" fontId="35" fillId="4" borderId="25" xfId="0" applyNumberFormat="1" applyFont="1" applyFill="1" applyBorder="1" applyAlignment="1">
      <alignment horizontal="center" vertical="center"/>
    </xf>
    <xf numFmtId="0" fontId="47" fillId="4" borderId="25" xfId="0" applyFont="1" applyFill="1" applyBorder="1" applyAlignment="1">
      <alignment horizontal="center" vertical="center"/>
    </xf>
    <xf numFmtId="172" fontId="52" fillId="0" borderId="19" xfId="2" applyNumberFormat="1" applyFont="1" applyBorder="1" applyAlignment="1" applyProtection="1">
      <alignment horizontal="center" vertical="center"/>
      <protection hidden="1"/>
    </xf>
    <xf numFmtId="169" fontId="53" fillId="0" borderId="19" xfId="3" applyFont="1" applyBorder="1" applyAlignment="1" applyProtection="1">
      <alignment horizontal="center" vertical="center"/>
      <protection hidden="1"/>
    </xf>
    <xf numFmtId="0" fontId="43" fillId="0" borderId="0" xfId="3" applyNumberFormat="1" applyFont="1" applyAlignment="1" applyProtection="1">
      <alignment horizontal="right" vertical="center"/>
    </xf>
    <xf numFmtId="164" fontId="44" fillId="0" borderId="20" xfId="2" applyNumberFormat="1" applyFont="1" applyBorder="1" applyAlignment="1" applyProtection="1">
      <alignment horizontal="left" vertical="center"/>
    </xf>
    <xf numFmtId="164" fontId="38" fillId="0" borderId="0" xfId="2" applyNumberFormat="1" applyFont="1" applyAlignment="1" applyProtection="1">
      <alignment vertical="center"/>
    </xf>
    <xf numFmtId="0" fontId="13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69" fontId="26" fillId="4" borderId="19" xfId="3" applyFont="1" applyFill="1" applyBorder="1" applyAlignment="1" applyProtection="1">
      <alignment horizontal="right" vertical="center"/>
    </xf>
    <xf numFmtId="172" fontId="26" fillId="4" borderId="26" xfId="2" applyNumberFormat="1" applyFont="1" applyFill="1" applyBorder="1" applyAlignment="1" applyProtection="1">
      <alignment horizontal="center" vertical="center"/>
    </xf>
    <xf numFmtId="169" fontId="47" fillId="0" borderId="19" xfId="0" applyNumberFormat="1" applyFont="1" applyBorder="1" applyProtection="1">
      <alignment vertical="center"/>
      <protection hidden="1"/>
    </xf>
    <xf numFmtId="172" fontId="11" fillId="0" borderId="0" xfId="2" applyNumberFormat="1" applyFont="1" applyAlignment="1" applyProtection="1">
      <alignment vertical="center"/>
    </xf>
    <xf numFmtId="169" fontId="53" fillId="0" borderId="19" xfId="0" applyNumberFormat="1" applyFont="1" applyBorder="1" applyAlignment="1" applyProtection="1">
      <alignment horizontal="center" vertical="center"/>
      <protection hidden="1"/>
    </xf>
    <xf numFmtId="10" fontId="38" fillId="0" borderId="0" xfId="2" applyNumberFormat="1" applyFont="1" applyAlignment="1" applyProtection="1">
      <alignment vertical="center"/>
    </xf>
    <xf numFmtId="169" fontId="8" fillId="0" borderId="0" xfId="0" applyNumberFormat="1" applyFont="1" applyProtection="1">
      <alignment vertical="center"/>
      <protection hidden="1"/>
    </xf>
    <xf numFmtId="164" fontId="26" fillId="4" borderId="26" xfId="2" applyNumberFormat="1" applyFont="1" applyFill="1" applyBorder="1" applyAlignment="1" applyProtection="1">
      <alignment horizontal="center" vertical="center"/>
      <protection hidden="1"/>
    </xf>
    <xf numFmtId="169" fontId="47" fillId="0" borderId="19" xfId="3" applyFont="1" applyBorder="1" applyAlignment="1" applyProtection="1">
      <alignment vertical="center"/>
      <protection hidden="1"/>
    </xf>
    <xf numFmtId="167" fontId="30" fillId="0" borderId="0" xfId="1" applyNumberFormat="1" applyFont="1" applyAlignment="1" applyProtection="1">
      <alignment horizontal="right" vertical="center"/>
    </xf>
    <xf numFmtId="169" fontId="26" fillId="4" borderId="25" xfId="3" applyFont="1" applyFill="1" applyBorder="1" applyAlignment="1" applyProtection="1">
      <alignment horizontal="right" vertical="center"/>
    </xf>
    <xf numFmtId="169" fontId="26" fillId="4" borderId="26" xfId="3" applyFont="1" applyFill="1" applyBorder="1" applyAlignment="1" applyProtection="1">
      <alignment horizontal="right" vertical="center"/>
      <protection hidden="1"/>
    </xf>
    <xf numFmtId="169" fontId="47" fillId="3" borderId="19" xfId="3" applyFont="1" applyFill="1" applyBorder="1" applyAlignment="1" applyProtection="1">
      <alignment vertical="center"/>
      <protection hidden="1"/>
    </xf>
    <xf numFmtId="167" fontId="55" fillId="0" borderId="17" xfId="1" applyNumberFormat="1" applyFont="1" applyBorder="1" applyAlignment="1" applyProtection="1">
      <alignment vertical="center"/>
    </xf>
    <xf numFmtId="169" fontId="56" fillId="4" borderId="19" xfId="3" applyFont="1" applyFill="1" applyBorder="1" applyAlignment="1" applyProtection="1">
      <alignment horizontal="right" vertical="center"/>
    </xf>
    <xf numFmtId="167" fontId="57" fillId="0" borderId="29" xfId="1" applyNumberFormat="1" applyFont="1" applyBorder="1" applyAlignment="1" applyProtection="1">
      <alignment vertical="center"/>
    </xf>
    <xf numFmtId="165" fontId="30" fillId="0" borderId="0" xfId="1" applyFont="1" applyAlignment="1" applyProtection="1">
      <alignment horizontal="left" vertical="center"/>
    </xf>
    <xf numFmtId="169" fontId="12" fillId="0" borderId="0" xfId="0" applyNumberFormat="1" applyFont="1" applyAlignment="1">
      <alignment horizontal="right" vertical="center"/>
    </xf>
    <xf numFmtId="167" fontId="59" fillId="0" borderId="0" xfId="1" applyNumberFormat="1" applyFont="1" applyAlignment="1" applyProtection="1">
      <alignment horizontal="center" vertical="center"/>
    </xf>
    <xf numFmtId="167" fontId="13" fillId="0" borderId="0" xfId="0" applyNumberFormat="1" applyFont="1">
      <alignment vertical="center"/>
    </xf>
    <xf numFmtId="167" fontId="60" fillId="0" borderId="0" xfId="1" applyNumberFormat="1" applyFont="1" applyAlignment="1" applyProtection="1">
      <alignment horizontal="right" vertical="center"/>
    </xf>
    <xf numFmtId="0" fontId="62" fillId="0" borderId="0" xfId="0" applyFont="1">
      <alignment vertical="center"/>
    </xf>
    <xf numFmtId="0" fontId="63" fillId="0" borderId="0" xfId="0" applyFont="1">
      <alignment vertical="center"/>
    </xf>
    <xf numFmtId="0" fontId="64" fillId="0" borderId="0" xfId="0" applyFont="1">
      <alignment vertical="center"/>
    </xf>
    <xf numFmtId="0" fontId="65" fillId="0" borderId="0" xfId="0" applyFont="1">
      <alignment vertical="center"/>
    </xf>
    <xf numFmtId="167" fontId="25" fillId="0" borderId="0" xfId="1" applyNumberFormat="1" applyFont="1" applyAlignment="1" applyProtection="1">
      <alignment vertical="center"/>
    </xf>
    <xf numFmtId="0" fontId="1" fillId="0" borderId="0" xfId="0" applyFont="1">
      <alignment vertical="center"/>
    </xf>
    <xf numFmtId="172" fontId="1" fillId="0" borderId="0" xfId="0" applyNumberFormat="1" applyFont="1">
      <alignment vertical="center"/>
    </xf>
    <xf numFmtId="167" fontId="66" fillId="0" borderId="0" xfId="1" applyNumberFormat="1" applyFont="1" applyAlignment="1" applyProtection="1">
      <alignment vertical="center"/>
    </xf>
    <xf numFmtId="169" fontId="44" fillId="8" borderId="20" xfId="3" applyFont="1" applyFill="1" applyBorder="1" applyAlignment="1">
      <alignment horizontal="left" vertical="center"/>
      <protection locked="0"/>
    </xf>
    <xf numFmtId="169" fontId="44" fillId="9" borderId="20" xfId="3" applyFont="1" applyFill="1" applyBorder="1" applyAlignment="1">
      <alignment horizontal="left" vertical="center"/>
      <protection locked="0"/>
    </xf>
    <xf numFmtId="49" fontId="44" fillId="9" borderId="20" xfId="3" applyNumberFormat="1" applyFont="1" applyFill="1" applyBorder="1" applyAlignment="1">
      <alignment horizontal="left" vertical="center"/>
      <protection locked="0"/>
    </xf>
    <xf numFmtId="0" fontId="54" fillId="9" borderId="0" xfId="0" applyFont="1" applyFill="1" applyProtection="1">
      <alignment vertical="center"/>
      <protection locked="0"/>
    </xf>
    <xf numFmtId="0" fontId="41" fillId="9" borderId="19" xfId="0" applyFont="1" applyFill="1" applyBorder="1" applyAlignment="1">
      <alignment horizontal="center" vertical="center"/>
    </xf>
    <xf numFmtId="9" fontId="44" fillId="9" borderId="0" xfId="0" applyNumberFormat="1" applyFont="1" applyFill="1" applyProtection="1">
      <alignment vertical="center"/>
      <protection locked="0"/>
    </xf>
    <xf numFmtId="0" fontId="41" fillId="9" borderId="19" xfId="0" applyFont="1" applyFill="1" applyBorder="1" applyAlignment="1" applyProtection="1">
      <alignment horizontal="center" vertical="center"/>
      <protection locked="0"/>
    </xf>
    <xf numFmtId="0" fontId="41" fillId="9" borderId="19" xfId="3" applyNumberFormat="1" applyFont="1" applyFill="1" applyBorder="1" applyAlignment="1">
      <alignment horizontal="center" vertical="center"/>
      <protection locked="0"/>
    </xf>
    <xf numFmtId="169" fontId="44" fillId="9" borderId="28" xfId="3" applyFont="1" applyFill="1" applyBorder="1" applyAlignment="1" applyProtection="1">
      <alignment horizontal="left" vertical="center"/>
    </xf>
    <xf numFmtId="49" fontId="13" fillId="10" borderId="0" xfId="0" applyNumberFormat="1" applyFont="1" applyFill="1" applyProtection="1">
      <alignment vertical="center"/>
      <protection locked="0"/>
    </xf>
    <xf numFmtId="0" fontId="13" fillId="10" borderId="0" xfId="0" applyFont="1" applyFill="1" applyProtection="1">
      <alignment vertical="center"/>
      <protection locked="0"/>
    </xf>
    <xf numFmtId="1" fontId="8" fillId="10" borderId="0" xfId="0" applyNumberFormat="1" applyFont="1" applyFill="1" applyProtection="1">
      <alignment vertical="center"/>
      <protection locked="0"/>
    </xf>
    <xf numFmtId="0" fontId="39" fillId="8" borderId="13" xfId="0" applyFont="1" applyFill="1" applyBorder="1" applyAlignment="1">
      <alignment horizontal="center" vertical="center"/>
    </xf>
    <xf numFmtId="0" fontId="39" fillId="8" borderId="14" xfId="0" applyFont="1" applyFill="1" applyBorder="1" applyAlignment="1">
      <alignment horizontal="center" vertical="center"/>
    </xf>
    <xf numFmtId="0" fontId="39" fillId="8" borderId="15" xfId="0" applyFont="1" applyFill="1" applyBorder="1" applyAlignment="1">
      <alignment horizontal="center" vertical="center"/>
    </xf>
    <xf numFmtId="4" fontId="47" fillId="4" borderId="19" xfId="0" applyNumberFormat="1" applyFont="1" applyFill="1" applyBorder="1" applyAlignment="1">
      <alignment horizontal="center" vertical="center"/>
    </xf>
    <xf numFmtId="169" fontId="41" fillId="8" borderId="16" xfId="3" applyFont="1" applyFill="1" applyBorder="1" applyAlignment="1">
      <alignment horizontal="center" vertical="center"/>
      <protection locked="0"/>
    </xf>
    <xf numFmtId="169" fontId="41" fillId="8" borderId="17" xfId="3" applyFont="1" applyFill="1" applyBorder="1" applyAlignment="1">
      <alignment horizontal="center" vertical="center"/>
      <protection locked="0"/>
    </xf>
    <xf numFmtId="169" fontId="41" fillId="8" borderId="18" xfId="3" applyFont="1" applyFill="1" applyBorder="1" applyAlignment="1">
      <alignment horizontal="center" vertical="center"/>
      <protection locked="0"/>
    </xf>
    <xf numFmtId="0" fontId="58" fillId="6" borderId="14" xfId="0" applyFont="1" applyFill="1" applyBorder="1" applyAlignment="1">
      <alignment horizontal="center" vertical="center"/>
    </xf>
    <xf numFmtId="0" fontId="58" fillId="6" borderId="0" xfId="0" applyFont="1" applyFill="1" applyAlignment="1">
      <alignment horizontal="center" vertical="center"/>
    </xf>
    <xf numFmtId="169" fontId="37" fillId="0" borderId="25" xfId="0" applyNumberFormat="1" applyFont="1" applyBorder="1" applyAlignment="1" applyProtection="1">
      <alignment horizontal="center" vertical="center"/>
      <protection hidden="1"/>
    </xf>
    <xf numFmtId="169" fontId="37" fillId="0" borderId="26" xfId="0" applyNumberFormat="1" applyFont="1" applyBorder="1" applyAlignment="1" applyProtection="1">
      <alignment horizontal="center" vertical="center"/>
      <protection hidden="1"/>
    </xf>
    <xf numFmtId="4" fontId="35" fillId="4" borderId="19" xfId="0" applyNumberFormat="1" applyFont="1" applyFill="1" applyBorder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0" fontId="40" fillId="6" borderId="31" xfId="0" applyFont="1" applyFill="1" applyBorder="1" applyAlignment="1">
      <alignment horizontal="center" vertical="center"/>
    </xf>
    <xf numFmtId="0" fontId="40" fillId="6" borderId="32" xfId="0" applyFont="1" applyFill="1" applyBorder="1" applyAlignment="1">
      <alignment horizontal="center" vertical="center"/>
    </xf>
    <xf numFmtId="0" fontId="40" fillId="6" borderId="33" xfId="0" applyFont="1" applyFill="1" applyBorder="1" applyAlignment="1">
      <alignment horizontal="center" vertical="center"/>
    </xf>
    <xf numFmtId="0" fontId="47" fillId="4" borderId="21" xfId="0" applyFont="1" applyFill="1" applyBorder="1" applyAlignment="1">
      <alignment horizontal="center" vertical="center"/>
    </xf>
    <xf numFmtId="0" fontId="47" fillId="4" borderId="22" xfId="0" applyFont="1" applyFill="1" applyBorder="1" applyAlignment="1">
      <alignment horizontal="center" vertical="center"/>
    </xf>
    <xf numFmtId="0" fontId="47" fillId="4" borderId="23" xfId="0" applyFont="1" applyFill="1" applyBorder="1" applyAlignment="1">
      <alignment horizontal="center" vertical="center"/>
    </xf>
    <xf numFmtId="0" fontId="47" fillId="4" borderId="24" xfId="0" applyFont="1" applyFill="1" applyBorder="1" applyAlignment="1">
      <alignment horizontal="center" vertical="center"/>
    </xf>
    <xf numFmtId="169" fontId="53" fillId="0" borderId="19" xfId="0" applyNumberFormat="1" applyFont="1" applyBorder="1" applyAlignment="1" applyProtection="1">
      <alignment horizontal="center" vertical="center"/>
      <protection hidden="1"/>
    </xf>
    <xf numFmtId="174" fontId="48" fillId="0" borderId="25" xfId="0" applyNumberFormat="1" applyFont="1" applyBorder="1" applyAlignment="1" applyProtection="1">
      <alignment horizontal="center" vertical="center"/>
      <protection hidden="1"/>
    </xf>
    <xf numFmtId="174" fontId="48" fillId="0" borderId="26" xfId="0" applyNumberFormat="1" applyFont="1" applyBorder="1" applyAlignment="1" applyProtection="1">
      <alignment horizontal="center" vertical="center"/>
      <protection hidden="1"/>
    </xf>
    <xf numFmtId="167" fontId="41" fillId="9" borderId="19" xfId="1" applyNumberFormat="1" applyFont="1" applyFill="1" applyBorder="1" applyAlignment="1">
      <alignment horizontal="center" vertical="center"/>
      <protection locked="0"/>
    </xf>
    <xf numFmtId="169" fontId="41" fillId="9" borderId="19" xfId="0" applyNumberFormat="1" applyFont="1" applyFill="1" applyBorder="1" applyAlignment="1" applyProtection="1">
      <alignment horizontal="center" vertical="center"/>
      <protection locked="0"/>
    </xf>
    <xf numFmtId="169" fontId="41" fillId="9" borderId="25" xfId="0" applyNumberFormat="1" applyFont="1" applyFill="1" applyBorder="1" applyAlignment="1" applyProtection="1">
      <alignment horizontal="center" vertical="center"/>
      <protection locked="0"/>
    </xf>
    <xf numFmtId="169" fontId="41" fillId="9" borderId="26" xfId="0" applyNumberFormat="1" applyFont="1" applyFill="1" applyBorder="1" applyAlignment="1" applyProtection="1">
      <alignment horizontal="center" vertical="center"/>
      <protection locked="0"/>
    </xf>
    <xf numFmtId="49" fontId="8" fillId="10" borderId="30" xfId="0" applyNumberFormat="1" applyFont="1" applyFill="1" applyBorder="1" applyAlignment="1" applyProtection="1">
      <alignment horizontal="center" vertical="center"/>
      <protection locked="0"/>
    </xf>
    <xf numFmtId="4" fontId="35" fillId="4" borderId="25" xfId="0" applyNumberFormat="1" applyFont="1" applyFill="1" applyBorder="1" applyAlignment="1">
      <alignment horizontal="center" vertical="center"/>
    </xf>
    <xf numFmtId="4" fontId="35" fillId="4" borderId="27" xfId="0" applyNumberFormat="1" applyFont="1" applyFill="1" applyBorder="1" applyAlignment="1">
      <alignment horizontal="center" vertical="center"/>
    </xf>
    <xf numFmtId="4" fontId="35" fillId="4" borderId="26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5" fillId="0" borderId="14" xfId="0" applyFont="1" applyBorder="1" applyAlignment="1" applyProtection="1">
      <alignment horizontal="left" vertical="center"/>
      <protection hidden="1"/>
    </xf>
    <xf numFmtId="167" fontId="47" fillId="0" borderId="14" xfId="1" applyNumberFormat="1" applyFont="1" applyBorder="1" applyAlignment="1" applyProtection="1">
      <alignment horizontal="center" vertical="center"/>
      <protection hidden="1"/>
    </xf>
    <xf numFmtId="10" fontId="1" fillId="0" borderId="0" xfId="2" applyNumberFormat="1" applyFont="1" applyProtection="1">
      <protection hidden="1"/>
    </xf>
    <xf numFmtId="167" fontId="25" fillId="0" borderId="0" xfId="0" applyNumberFormat="1" applyFont="1">
      <alignment vertical="center"/>
    </xf>
    <xf numFmtId="167" fontId="67" fillId="0" borderId="0" xfId="1" applyNumberFormat="1" applyFont="1" applyAlignment="1" applyProtection="1">
      <alignment vertical="center"/>
    </xf>
    <xf numFmtId="165" fontId="67" fillId="0" borderId="0" xfId="1" applyFont="1" applyAlignment="1" applyProtection="1">
      <alignment horizontal="left" vertical="center"/>
    </xf>
    <xf numFmtId="0" fontId="68" fillId="0" borderId="0" xfId="0" applyFont="1">
      <alignment vertical="center"/>
    </xf>
    <xf numFmtId="10" fontId="47" fillId="0" borderId="0" xfId="0" applyNumberFormat="1" applyFont="1" applyProtection="1">
      <alignment vertical="center"/>
      <protection hidden="1"/>
    </xf>
    <xf numFmtId="0" fontId="47" fillId="0" borderId="0" xfId="0" applyFont="1">
      <alignment vertical="center"/>
    </xf>
    <xf numFmtId="0" fontId="31" fillId="0" borderId="0" xfId="0" applyFont="1">
      <alignment vertical="center"/>
    </xf>
    <xf numFmtId="167" fontId="47" fillId="0" borderId="0" xfId="1" applyNumberFormat="1" applyFont="1" applyAlignment="1" applyProtection="1">
      <alignment vertical="center"/>
    </xf>
    <xf numFmtId="169" fontId="67" fillId="0" borderId="0" xfId="3" applyFont="1" applyAlignment="1" applyProtection="1">
      <alignment horizontal="right" vertical="center"/>
    </xf>
  </cellXfs>
  <cellStyles count="6">
    <cellStyle name="Comma" xfId="1" builtinId="3"/>
    <cellStyle name="Comma [0]" xfId="3" builtinId="6"/>
    <cellStyle name="Hyperlink" xfId="5" xr:uid="{00000000-0005-0000-0000-000005000000}"/>
    <cellStyle name="Normal" xfId="0" builtinId="0"/>
    <cellStyle name="Percent" xfId="2" builtinId="5"/>
    <cellStyle name="Percent 2" xfId="4" xr:uid="{00000000-0005-0000-0000-000004000000}"/>
  </cellStyles>
  <dxfs count="2"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jects/9%2520-%2520Bina%2520Global/07-Marketing%2520Tools/Penting/Tabel%2520Asuransi%2520-%252020260715.xlsx" TargetMode="External"/><Relationship Id="rId1" Type="http://schemas.openxmlformats.org/officeDocument/2006/relationships/externalLinkPath" Target="/Projects/9%2520-%2520Bina%2520Global/07-Marketing%2520Tools/Penting/Tabel%2520Asuransi%2520-%2520202607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suransi Original"/>
      <sheetName val="Asuransi 20"/>
      <sheetName val="Asuransi 25"/>
    </sheetNames>
    <sheetDataSet>
      <sheetData sheetId="0">
        <row r="5">
          <cell r="C5">
            <v>6.4999999999999997E-3</v>
          </cell>
          <cell r="D5">
            <v>1.2999999999999999E-2</v>
          </cell>
          <cell r="E5">
            <v>1.95E-2</v>
          </cell>
          <cell r="F5">
            <v>2.5999999999999999E-2</v>
          </cell>
          <cell r="G5">
            <v>3.2500000000000001E-2</v>
          </cell>
          <cell r="H5">
            <v>6.7699999999999996E-2</v>
          </cell>
          <cell r="I5">
            <v>8.2000000000000003E-2</v>
          </cell>
          <cell r="J5">
            <v>9.9000000000000005E-2</v>
          </cell>
          <cell r="K5">
            <v>0.1065</v>
          </cell>
          <cell r="L5">
            <v>0.123</v>
          </cell>
          <cell r="M5">
            <v>0.2215</v>
          </cell>
          <cell r="N5">
            <v>0.23449999999999999</v>
          </cell>
          <cell r="O5">
            <v>0.245</v>
          </cell>
          <cell r="P5">
            <v>0.252</v>
          </cell>
          <cell r="Q5">
            <v>0.25590000000000002</v>
          </cell>
        </row>
        <row r="6">
          <cell r="C6">
            <v>6.4999999999999997E-3</v>
          </cell>
          <cell r="D6">
            <v>1.2999999999999999E-2</v>
          </cell>
          <cell r="E6">
            <v>1.95E-2</v>
          </cell>
          <cell r="F6">
            <v>2.5999999999999999E-2</v>
          </cell>
          <cell r="G6">
            <v>6.1199999999999997E-2</v>
          </cell>
          <cell r="H6">
            <v>7.5499999999999998E-2</v>
          </cell>
          <cell r="I6">
            <v>9.2499999999999999E-2</v>
          </cell>
          <cell r="J6">
            <v>0.1</v>
          </cell>
          <cell r="K6">
            <v>0.11650000000000001</v>
          </cell>
          <cell r="L6">
            <v>0.2215</v>
          </cell>
          <cell r="M6">
            <v>0.23649999999999999</v>
          </cell>
          <cell r="N6">
            <v>0.245</v>
          </cell>
          <cell r="O6">
            <v>0.245</v>
          </cell>
          <cell r="P6">
            <v>0.2535</v>
          </cell>
        </row>
        <row r="7">
          <cell r="C7">
            <v>6.4999999999999997E-3</v>
          </cell>
          <cell r="D7">
            <v>1.2999999999999999E-2</v>
          </cell>
          <cell r="E7">
            <v>1.95E-2</v>
          </cell>
          <cell r="F7">
            <v>5.4699999999999999E-2</v>
          </cell>
          <cell r="G7">
            <v>6.9000000000000006E-2</v>
          </cell>
          <cell r="H7">
            <v>8.5999999999999993E-2</v>
          </cell>
          <cell r="I7">
            <v>9.35E-2</v>
          </cell>
          <cell r="J7">
            <v>0.11</v>
          </cell>
          <cell r="K7">
            <v>0.22650000000000001</v>
          </cell>
          <cell r="L7">
            <v>0.23150000000000001</v>
          </cell>
          <cell r="M7">
            <v>0.23649999999999999</v>
          </cell>
          <cell r="N7">
            <v>0.245</v>
          </cell>
          <cell r="O7">
            <v>0.24149999999999999</v>
          </cell>
        </row>
        <row r="8">
          <cell r="C8">
            <v>6.4999999999999997E-3</v>
          </cell>
          <cell r="D8">
            <v>1.2999999999999999E-2</v>
          </cell>
          <cell r="E8">
            <v>4.82E-2</v>
          </cell>
          <cell r="F8">
            <v>6.25E-2</v>
          </cell>
          <cell r="G8">
            <v>7.9500000000000001E-2</v>
          </cell>
          <cell r="H8">
            <v>8.6999999999999994E-2</v>
          </cell>
          <cell r="I8">
            <v>0.10349999999999999</v>
          </cell>
          <cell r="J8">
            <v>0.22159999999999999</v>
          </cell>
          <cell r="K8">
            <v>0.22850000000000001</v>
          </cell>
          <cell r="L8">
            <v>0.23649999999999999</v>
          </cell>
          <cell r="M8">
            <v>0.2465</v>
          </cell>
          <cell r="N8">
            <v>0.2515</v>
          </cell>
        </row>
        <row r="9">
          <cell r="C9">
            <v>6.4999999999999997E-3</v>
          </cell>
          <cell r="D9">
            <v>4.1700000000000001E-2</v>
          </cell>
          <cell r="E9">
            <v>5.6000000000000001E-2</v>
          </cell>
          <cell r="F9">
            <v>7.2999999999999995E-2</v>
          </cell>
          <cell r="G9">
            <v>8.0500000000000002E-2</v>
          </cell>
          <cell r="H9">
            <v>9.7000000000000003E-2</v>
          </cell>
          <cell r="I9">
            <v>0.22550000000000001</v>
          </cell>
          <cell r="J9">
            <v>0.23150000000000001</v>
          </cell>
          <cell r="K9">
            <v>0.23150000000000001</v>
          </cell>
          <cell r="L9">
            <v>0.24149999999999999</v>
          </cell>
          <cell r="M9">
            <v>0.2485</v>
          </cell>
        </row>
        <row r="10">
          <cell r="C10">
            <v>3.5200000000000002E-2</v>
          </cell>
          <cell r="D10">
            <v>4.3499999999999997E-2</v>
          </cell>
          <cell r="E10">
            <v>6.6500000000000004E-2</v>
          </cell>
          <cell r="F10">
            <v>7.3999999999999996E-2</v>
          </cell>
          <cell r="G10">
            <v>9.0499999999999997E-2</v>
          </cell>
          <cell r="H10">
            <v>0.2155</v>
          </cell>
          <cell r="I10">
            <v>0.22850000000000001</v>
          </cell>
          <cell r="J10">
            <v>0.23449999999999999</v>
          </cell>
          <cell r="K10">
            <v>0.23649999999999999</v>
          </cell>
          <cell r="L10">
            <v>0.2445</v>
          </cell>
        </row>
        <row r="11">
          <cell r="C11">
            <v>3.5200000000000002E-2</v>
          </cell>
          <cell r="D11">
            <v>4.3499999999999997E-2</v>
          </cell>
          <cell r="E11">
            <v>6.6500000000000004E-2</v>
          </cell>
          <cell r="F11">
            <v>7.3999999999999996E-2</v>
          </cell>
          <cell r="G11">
            <v>0.2155</v>
          </cell>
          <cell r="H11">
            <v>0.2185</v>
          </cell>
          <cell r="I11">
            <v>0.23050000000000001</v>
          </cell>
          <cell r="J11">
            <v>0.23549999999999999</v>
          </cell>
          <cell r="K11">
            <v>0.23849999999999999</v>
          </cell>
          <cell r="L11">
            <v>0.26</v>
          </cell>
        </row>
        <row r="12">
          <cell r="C12">
            <v>3.5200000000000002E-2</v>
          </cell>
          <cell r="D12">
            <v>4.3499999999999997E-2</v>
          </cell>
          <cell r="E12">
            <v>6.6500000000000004E-2</v>
          </cell>
          <cell r="F12">
            <v>0.185</v>
          </cell>
          <cell r="G12">
            <v>0.2215</v>
          </cell>
          <cell r="H12">
            <v>0.22450000000000001</v>
          </cell>
          <cell r="I12">
            <v>0.23150000000000001</v>
          </cell>
          <cell r="J12">
            <v>0.23649999999999999</v>
          </cell>
          <cell r="K12">
            <v>0.25</v>
          </cell>
          <cell r="L12">
            <v>0.28000000000000003</v>
          </cell>
        </row>
        <row r="13">
          <cell r="C13">
            <v>3.5200000000000002E-2</v>
          </cell>
          <cell r="D13">
            <v>4.3499999999999997E-2</v>
          </cell>
          <cell r="E13">
            <v>0.158</v>
          </cell>
          <cell r="F13">
            <v>0.19750000000000001</v>
          </cell>
          <cell r="G13">
            <v>0.22450000000000001</v>
          </cell>
          <cell r="H13">
            <v>0.22750000000000001</v>
          </cell>
          <cell r="I13">
            <v>0.23350000000000001</v>
          </cell>
          <cell r="J13">
            <v>0.25</v>
          </cell>
          <cell r="K13">
            <v>0.26</v>
          </cell>
          <cell r="L13">
            <v>0.3</v>
          </cell>
        </row>
        <row r="14">
          <cell r="C14">
            <v>3.5200000000000002E-2</v>
          </cell>
          <cell r="D14">
            <v>4.3499999999999997E-2</v>
          </cell>
          <cell r="E14">
            <v>0.16200000000000001</v>
          </cell>
          <cell r="F14">
            <v>0.20200000000000001</v>
          </cell>
          <cell r="G14">
            <v>0.22450000000000001</v>
          </cell>
          <cell r="H14">
            <v>0.22750000000000001</v>
          </cell>
          <cell r="I14">
            <v>0.25</v>
          </cell>
          <cell r="J14">
            <v>0.26</v>
          </cell>
          <cell r="K14">
            <v>0.28000000000000003</v>
          </cell>
          <cell r="L14">
            <v>0.32</v>
          </cell>
        </row>
        <row r="15">
          <cell r="C15">
            <v>6.5000000000000002E-2</v>
          </cell>
          <cell r="D15">
            <v>9.6000000000000002E-2</v>
          </cell>
          <cell r="E15">
            <v>0.16700000000000001</v>
          </cell>
          <cell r="F15">
            <v>0.21440000000000001</v>
          </cell>
          <cell r="G15">
            <v>0.22750000000000001</v>
          </cell>
          <cell r="H15">
            <v>0.25</v>
          </cell>
          <cell r="I15">
            <v>0.26</v>
          </cell>
          <cell r="J15">
            <v>0.28000000000000003</v>
          </cell>
          <cell r="K15">
            <v>0.28999999999999998</v>
          </cell>
          <cell r="L15">
            <v>0.34</v>
          </cell>
        </row>
        <row r="16">
          <cell r="C16">
            <v>6.5000000000000002E-2</v>
          </cell>
          <cell r="D16">
            <v>0.11</v>
          </cell>
          <cell r="E16">
            <v>0.16700000000000001</v>
          </cell>
          <cell r="F16">
            <v>0.21440000000000001</v>
          </cell>
          <cell r="G16">
            <v>0.25</v>
          </cell>
          <cell r="H16">
            <v>0.26</v>
          </cell>
          <cell r="I16">
            <v>0.28000000000000003</v>
          </cell>
          <cell r="J16">
            <v>0.28999999999999998</v>
          </cell>
          <cell r="K16">
            <v>0.32</v>
          </cell>
        </row>
        <row r="17">
          <cell r="C17">
            <v>6.5000000000000002E-2</v>
          </cell>
          <cell r="D17">
            <v>0.11</v>
          </cell>
          <cell r="E17">
            <v>0.16700000000000001</v>
          </cell>
          <cell r="F17">
            <v>0.25</v>
          </cell>
          <cell r="G17">
            <v>0.26</v>
          </cell>
          <cell r="H17">
            <v>0.28000000000000003</v>
          </cell>
          <cell r="I17">
            <v>0.28999999999999998</v>
          </cell>
          <cell r="J17">
            <v>0.31</v>
          </cell>
        </row>
        <row r="18">
          <cell r="C18">
            <v>6.5000000000000002E-2</v>
          </cell>
          <cell r="D18">
            <v>0.11</v>
          </cell>
          <cell r="E18">
            <v>0.25</v>
          </cell>
          <cell r="F18">
            <v>0.26</v>
          </cell>
          <cell r="G18">
            <v>0.28000000000000003</v>
          </cell>
          <cell r="H18">
            <v>0.28999999999999998</v>
          </cell>
          <cell r="I18">
            <v>0.3</v>
          </cell>
        </row>
        <row r="19">
          <cell r="C19">
            <v>6.5000000000000002E-2</v>
          </cell>
          <cell r="D19">
            <v>0.14000000000000001</v>
          </cell>
          <cell r="E19">
            <v>0.26</v>
          </cell>
          <cell r="F19">
            <v>0.28000000000000003</v>
          </cell>
          <cell r="G19">
            <v>0.28999999999999998</v>
          </cell>
          <cell r="H19">
            <v>0.3</v>
          </cell>
        </row>
        <row r="20">
          <cell r="C20">
            <v>0.107</v>
          </cell>
          <cell r="D20">
            <v>0.16</v>
          </cell>
          <cell r="E20">
            <v>0.28000000000000003</v>
          </cell>
          <cell r="F20">
            <v>0.28999999999999998</v>
          </cell>
          <cell r="G20">
            <v>0.3</v>
          </cell>
        </row>
        <row r="21">
          <cell r="C21">
            <v>0.1235</v>
          </cell>
          <cell r="D21">
            <v>0.18</v>
          </cell>
          <cell r="E21">
            <v>0.28999999999999998</v>
          </cell>
          <cell r="F21">
            <v>0.3</v>
          </cell>
        </row>
        <row r="22">
          <cell r="C22">
            <v>0.14749999999999999</v>
          </cell>
          <cell r="D22">
            <v>0.22</v>
          </cell>
          <cell r="E22">
            <v>0.3</v>
          </cell>
        </row>
        <row r="23">
          <cell r="C23">
            <v>0.16700000000000001</v>
          </cell>
          <cell r="D23">
            <v>0.24</v>
          </cell>
        </row>
        <row r="24">
          <cell r="C24">
            <v>0.1825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A1:AE227"/>
  <sheetViews>
    <sheetView topLeftCell="K1" zoomScale="110" zoomScaleNormal="110" workbookViewId="0">
      <selection activeCell="P10" sqref="P10"/>
    </sheetView>
  </sheetViews>
  <sheetFormatPr defaultColWidth="10" defaultRowHeight="15" x14ac:dyDescent="0.25"/>
  <cols>
    <col min="1" max="1" width="3.5703125" bestFit="1" customWidth="1"/>
    <col min="2" max="2" width="19.85546875" bestFit="1" customWidth="1"/>
    <col min="3" max="3" width="9.140625" style="1"/>
    <col min="4" max="4" width="18.42578125" style="1" bestFit="1" customWidth="1"/>
    <col min="5" max="5" width="12" style="1" bestFit="1" customWidth="1"/>
    <col min="6" max="6" width="12.140625" style="1" bestFit="1" customWidth="1"/>
    <col min="7" max="7" width="15.5703125" style="1" bestFit="1" customWidth="1"/>
    <col min="8" max="8" width="13.85546875" style="1" bestFit="1" customWidth="1"/>
    <col min="10" max="10" width="5.5703125" style="2" bestFit="1" customWidth="1"/>
    <col min="11" max="11" width="16.140625" bestFit="1" customWidth="1"/>
    <col min="13" max="13" width="3.7109375" style="3" customWidth="1"/>
    <col min="14" max="14" width="4.5703125" style="4" customWidth="1"/>
    <col min="15" max="15" width="4.7109375" style="4" customWidth="1"/>
    <col min="16" max="16" width="3.7109375" style="5" customWidth="1"/>
    <col min="17" max="17" width="7.140625" style="6" customWidth="1"/>
    <col min="18" max="18" width="7.85546875" style="7" customWidth="1"/>
    <col min="19" max="19" width="7.7109375" style="8" customWidth="1"/>
    <col min="20" max="20" width="5.85546875" style="9" customWidth="1"/>
    <col min="21" max="21" width="11.28515625" style="10" customWidth="1"/>
    <col min="22" max="22" width="3.85546875" style="10" customWidth="1"/>
    <col min="23" max="23" width="8.140625" style="11" customWidth="1"/>
    <col min="24" max="24" width="3.7109375" style="12" customWidth="1"/>
    <col min="25" max="25" width="13.28515625" style="13" customWidth="1"/>
    <col min="26" max="26" width="12.42578125" style="14" customWidth="1"/>
    <col min="27" max="27" width="9.140625" style="13"/>
    <col min="28" max="28" width="18.5703125" style="13" customWidth="1"/>
    <col min="29" max="29" width="9.42578125" style="15" bestFit="1" customWidth="1"/>
    <col min="30" max="30" width="3.7109375" style="16" customWidth="1"/>
    <col min="31" max="31" width="16.7109375" customWidth="1"/>
    <col min="32" max="32" width="14.140625" customWidth="1"/>
  </cols>
  <sheetData>
    <row r="1" spans="1:30" s="17" customFormat="1" x14ac:dyDescent="0.25">
      <c r="A1" s="244" t="s">
        <v>62</v>
      </c>
      <c r="B1" s="244" t="s">
        <v>132</v>
      </c>
      <c r="C1" s="242" t="s">
        <v>11</v>
      </c>
      <c r="D1" s="242" t="s">
        <v>136</v>
      </c>
      <c r="E1" s="242" t="s">
        <v>133</v>
      </c>
      <c r="F1" s="242" t="s">
        <v>134</v>
      </c>
      <c r="G1" s="242" t="s">
        <v>138</v>
      </c>
      <c r="H1" s="242" t="s">
        <v>137</v>
      </c>
      <c r="J1" s="244" t="s">
        <v>147</v>
      </c>
      <c r="K1" s="244" t="s">
        <v>142</v>
      </c>
      <c r="M1" s="3"/>
      <c r="N1" s="4"/>
      <c r="O1" s="4"/>
      <c r="P1" s="5"/>
      <c r="Q1" s="6"/>
      <c r="R1" s="7"/>
      <c r="S1" s="8"/>
      <c r="T1" s="9"/>
      <c r="U1" s="9"/>
      <c r="V1" s="18" t="s">
        <v>46</v>
      </c>
      <c r="W1" s="18" t="s">
        <v>47</v>
      </c>
      <c r="X1" s="19" t="s">
        <v>101</v>
      </c>
      <c r="Y1" s="20" t="s">
        <v>36</v>
      </c>
      <c r="Z1" s="20" t="s">
        <v>27</v>
      </c>
      <c r="AA1" s="20" t="s">
        <v>42</v>
      </c>
      <c r="AB1" s="21"/>
      <c r="AC1" s="22" t="s">
        <v>29</v>
      </c>
      <c r="AD1" s="13"/>
    </row>
    <row r="2" spans="1:30" s="17" customFormat="1" x14ac:dyDescent="0.25">
      <c r="A2" s="244"/>
      <c r="B2" s="244"/>
      <c r="C2" s="242"/>
      <c r="D2" s="242"/>
      <c r="E2" s="242"/>
      <c r="F2" s="242"/>
      <c r="G2" s="242"/>
      <c r="H2" s="242"/>
      <c r="J2" s="244"/>
      <c r="K2" s="244"/>
      <c r="M2" s="23"/>
      <c r="N2" s="23"/>
      <c r="O2" s="23"/>
      <c r="P2" s="23"/>
      <c r="Q2" s="23"/>
      <c r="R2" s="23"/>
      <c r="S2" s="24"/>
      <c r="T2" s="23"/>
      <c r="U2" s="25" t="s">
        <v>99</v>
      </c>
      <c r="V2" s="25" t="s">
        <v>70</v>
      </c>
      <c r="W2" s="25">
        <v>17</v>
      </c>
      <c r="X2" s="26"/>
      <c r="Y2" s="27">
        <f ca="1">DAY(Y5)</f>
        <v>24</v>
      </c>
      <c r="Z2" s="28">
        <f>DATE('Simulasi BPR'!G7,'Simulasi BPR'!F7,'Simulasi BPR'!E7)</f>
        <v>19072</v>
      </c>
      <c r="AA2" s="29">
        <v>200000</v>
      </c>
      <c r="AB2" s="30"/>
      <c r="AC2" s="31">
        <v>17</v>
      </c>
      <c r="AD2" s="23"/>
    </row>
    <row r="3" spans="1:30" x14ac:dyDescent="0.25">
      <c r="A3">
        <v>1</v>
      </c>
      <c r="B3" s="32" t="s">
        <v>135</v>
      </c>
      <c r="C3" s="1">
        <v>8.9999999999999993E-3</v>
      </c>
      <c r="D3" s="33">
        <v>0.06</v>
      </c>
      <c r="E3" s="1">
        <v>5.0000000000000001E-3</v>
      </c>
      <c r="F3" s="1">
        <v>5.0000000000000001E-3</v>
      </c>
      <c r="G3" s="33">
        <f ca="1">IF('Simulasi BPR'!C6="PLATINUM",(Asuransi!$V$11*(100%-Ref!AC31)),IF('Simulasi BPR'!C6="VETERAN",(Asuransi!$V$35*(100%-Ref!AC31)),""))</f>
        <v>0.255</v>
      </c>
      <c r="H3" s="33">
        <f ca="1">D3+G3</f>
        <v>0.315</v>
      </c>
      <c r="J3" s="2">
        <v>101</v>
      </c>
      <c r="K3" s="32" t="s">
        <v>148</v>
      </c>
      <c r="M3" s="23"/>
      <c r="N3" s="23"/>
      <c r="O3" s="23"/>
      <c r="P3" s="23"/>
      <c r="Q3" s="23"/>
      <c r="R3" s="23"/>
      <c r="T3" s="23"/>
      <c r="U3" s="25" t="s">
        <v>99</v>
      </c>
      <c r="V3" s="25" t="s">
        <v>71</v>
      </c>
      <c r="W3" s="25">
        <v>25</v>
      </c>
      <c r="X3" s="26"/>
      <c r="Y3" s="27">
        <f ca="1">MONTH(Y5)</f>
        <v>8</v>
      </c>
      <c r="Z3" s="34">
        <f ca="1">(DATEDIF(Z2,Y5,"m"))/12</f>
        <v>74.416666666666671</v>
      </c>
      <c r="AA3" s="35"/>
      <c r="AB3" s="30"/>
      <c r="AC3" s="31">
        <v>85</v>
      </c>
      <c r="AD3" s="36"/>
    </row>
    <row r="4" spans="1:30" ht="23.25" x14ac:dyDescent="0.25">
      <c r="A4">
        <v>2</v>
      </c>
      <c r="B4" s="32"/>
      <c r="D4" s="33"/>
      <c r="E4" s="1">
        <v>0.01</v>
      </c>
      <c r="F4" s="1">
        <v>0.01</v>
      </c>
      <c r="G4" s="33"/>
      <c r="H4" s="33"/>
      <c r="J4" s="2">
        <v>102</v>
      </c>
      <c r="K4" s="32" t="s">
        <v>164</v>
      </c>
      <c r="M4" s="37"/>
      <c r="N4" s="37"/>
      <c r="O4" s="37"/>
      <c r="P4" s="37"/>
      <c r="Q4" s="37"/>
      <c r="R4" s="37"/>
      <c r="T4" s="37"/>
      <c r="U4" s="25" t="s">
        <v>99</v>
      </c>
      <c r="V4" s="25" t="s">
        <v>72</v>
      </c>
      <c r="W4" s="25">
        <v>18</v>
      </c>
      <c r="X4" s="26"/>
      <c r="Y4" s="27">
        <f ca="1">YEAR(Y5)</f>
        <v>2026</v>
      </c>
      <c r="Z4" s="38">
        <f ca="1">IF('Simulasi BPR'!J7&lt;5,'Simulasi BPR'!I7,'Simulasi BPR'!I7+1)</f>
        <v>75</v>
      </c>
      <c r="AA4" s="35"/>
      <c r="AB4" s="30"/>
      <c r="AC4" s="31">
        <f ca="1">AC3-'Simulasi BPR'!$I$7</f>
        <v>11</v>
      </c>
      <c r="AD4" s="13"/>
    </row>
    <row r="5" spans="1:30" ht="23.25" x14ac:dyDescent="0.25">
      <c r="A5">
        <v>3</v>
      </c>
      <c r="D5" s="33"/>
      <c r="G5" s="33"/>
      <c r="H5" s="33"/>
      <c r="J5" s="2">
        <v>103</v>
      </c>
      <c r="K5" s="32" t="s">
        <v>165</v>
      </c>
      <c r="M5" s="37"/>
      <c r="N5" s="37"/>
      <c r="O5" s="37"/>
      <c r="P5" s="37"/>
      <c r="Q5" s="37"/>
      <c r="R5" s="37"/>
      <c r="S5" s="37"/>
      <c r="T5" s="37"/>
      <c r="U5" s="25" t="s">
        <v>99</v>
      </c>
      <c r="V5" s="25" t="s">
        <v>73</v>
      </c>
      <c r="W5" s="25">
        <v>23</v>
      </c>
      <c r="X5" s="26"/>
      <c r="Y5" s="39">
        <f ca="1">NOW()</f>
        <v>46258.477592824071</v>
      </c>
      <c r="Z5" s="35"/>
      <c r="AA5" s="35"/>
      <c r="AB5" s="30"/>
      <c r="AD5" s="13"/>
    </row>
    <row r="6" spans="1:30" ht="23.25" x14ac:dyDescent="0.25">
      <c r="A6">
        <v>4</v>
      </c>
      <c r="J6" s="2">
        <v>104</v>
      </c>
      <c r="K6" s="32" t="s">
        <v>143</v>
      </c>
      <c r="M6" s="37"/>
      <c r="N6" s="37"/>
      <c r="O6" s="37"/>
      <c r="P6" s="37"/>
      <c r="Q6" s="37"/>
      <c r="R6" s="37"/>
      <c r="T6" s="37"/>
      <c r="U6" s="25" t="s">
        <v>99</v>
      </c>
      <c r="V6" s="25" t="s">
        <v>74</v>
      </c>
      <c r="W6" s="25">
        <v>18</v>
      </c>
      <c r="X6" s="26"/>
      <c r="Y6" s="40"/>
      <c r="Z6" s="35"/>
      <c r="AA6" s="35"/>
      <c r="AB6" s="41" t="s">
        <v>22</v>
      </c>
      <c r="AC6" s="42">
        <f>IF(OR('Simulasi BPR'!C7="BPR Kota Madiun",'Simulasi BPR'!C7="BPRS Bhakti Sumekar"),120,120)</f>
        <v>120</v>
      </c>
      <c r="AD6" s="43"/>
    </row>
    <row r="7" spans="1:30" ht="23.25" x14ac:dyDescent="0.25">
      <c r="A7">
        <v>5</v>
      </c>
      <c r="J7" s="2">
        <v>105</v>
      </c>
      <c r="K7" s="32" t="s">
        <v>167</v>
      </c>
      <c r="M7" s="8"/>
      <c r="N7" s="44" t="s">
        <v>61</v>
      </c>
      <c r="O7" s="8"/>
      <c r="P7" s="8"/>
      <c r="Q7" s="8"/>
      <c r="R7" s="37"/>
      <c r="T7" s="37"/>
      <c r="U7" s="25" t="s">
        <v>99</v>
      </c>
      <c r="V7" s="25" t="s">
        <v>75</v>
      </c>
      <c r="W7" s="25">
        <v>30</v>
      </c>
      <c r="X7" s="26"/>
      <c r="Y7" s="45" t="s">
        <v>39</v>
      </c>
      <c r="Z7" s="37"/>
      <c r="AA7" s="35"/>
      <c r="AB7" s="30"/>
      <c r="AC7" s="46">
        <f ca="1">MAX(0,84*12+11-(DATEDIF(DATE('Simulasi BPR'!$G$7,'Simulasi BPR'!$F$7,'Simulasi BPR'!$E$7),TODAY(),"y")*12+DATEDIF(DATE('Simulasi BPR'!$G$7,'Simulasi BPR'!$F$7,'Simulasi BPR'!$E$7),TODAY(),"ym")))</f>
        <v>126</v>
      </c>
      <c r="AD7" s="43"/>
    </row>
    <row r="8" spans="1:30" ht="23.25" x14ac:dyDescent="0.25">
      <c r="A8">
        <v>6</v>
      </c>
      <c r="B8" s="32" t="s">
        <v>157</v>
      </c>
      <c r="C8" s="1">
        <f ca="1">$G$3</f>
        <v>0.255</v>
      </c>
      <c r="J8" s="2">
        <v>201</v>
      </c>
      <c r="K8" s="32" t="s">
        <v>168</v>
      </c>
      <c r="M8" s="8"/>
      <c r="N8" s="8"/>
      <c r="O8" s="8"/>
      <c r="P8" s="8"/>
      <c r="Q8" s="8"/>
      <c r="R8" s="8"/>
      <c r="T8" s="37"/>
      <c r="U8" s="25" t="s">
        <v>99</v>
      </c>
      <c r="V8" s="25" t="s">
        <v>76</v>
      </c>
      <c r="W8" s="25">
        <v>24</v>
      </c>
      <c r="X8" s="26"/>
      <c r="Y8" s="47" t="str">
        <f ca="1">IF('Simulasi BPR'!G13&gt;AC10,("OVER"),("OK"))</f>
        <v>OK</v>
      </c>
      <c r="Z8" s="37"/>
      <c r="AA8" s="35"/>
      <c r="AB8" s="37"/>
      <c r="AC8" s="48">
        <f ca="1">DATEDIF(DATE('Simulasi BPR'!$G$7,'Simulasi BPR'!$F$7,'Simulasi BPR'!$E$7),TODAY(),"y")+DATEDIF(DATE('Simulasi BPR'!$G$7,'Simulasi BPR'!$F$7,'Simulasi BPR'!$E$7),TODAY(),"ym")/12</f>
        <v>74.416666666666671</v>
      </c>
      <c r="AD8" s="43"/>
    </row>
    <row r="9" spans="1:30" ht="23.25" x14ac:dyDescent="0.2">
      <c r="A9">
        <v>7</v>
      </c>
      <c r="B9" s="32" t="s">
        <v>5</v>
      </c>
      <c r="C9" s="1">
        <f ca="1">$H$3</f>
        <v>0.315</v>
      </c>
      <c r="F9" s="49"/>
      <c r="G9" s="33"/>
      <c r="J9" s="2">
        <v>202</v>
      </c>
      <c r="K9" s="32" t="s">
        <v>169</v>
      </c>
      <c r="M9" s="50" t="s">
        <v>110</v>
      </c>
      <c r="N9" s="50"/>
      <c r="O9" s="50"/>
      <c r="P9" s="50"/>
      <c r="Q9" s="50"/>
      <c r="R9" s="8"/>
      <c r="T9" s="37"/>
      <c r="U9" s="25" t="s">
        <v>99</v>
      </c>
      <c r="V9" s="25" t="s">
        <v>77</v>
      </c>
      <c r="W9" s="25">
        <v>13</v>
      </c>
      <c r="X9" s="26"/>
      <c r="Y9" s="47" t="str">
        <f ca="1">IF('Simulasi BPR'!J13&gt;'Simulasi BPR'!J10,("OVER"),("OK"))</f>
        <v>OK</v>
      </c>
      <c r="Z9" s="37"/>
      <c r="AA9" s="35"/>
      <c r="AB9" s="37"/>
      <c r="AC9" s="42">
        <f ca="1">MIN(AC6,AC7)</f>
        <v>120</v>
      </c>
      <c r="AD9" s="43"/>
    </row>
    <row r="10" spans="1:30" x14ac:dyDescent="0.2">
      <c r="A10">
        <v>8</v>
      </c>
      <c r="B10" s="32" t="s">
        <v>173</v>
      </c>
      <c r="C10" s="1">
        <f>$D$3</f>
        <v>0.06</v>
      </c>
      <c r="J10" s="2">
        <v>203</v>
      </c>
      <c r="K10" s="32" t="s">
        <v>144</v>
      </c>
      <c r="M10" s="50" t="str">
        <f>'Simulasi BPR'!C16</f>
        <v>TASPEN</v>
      </c>
      <c r="N10" s="50"/>
      <c r="O10" s="50" t="s">
        <v>111</v>
      </c>
      <c r="P10" s="50"/>
      <c r="Q10" s="50" t="s">
        <v>112</v>
      </c>
      <c r="R10" s="8"/>
      <c r="U10" s="25" t="s">
        <v>99</v>
      </c>
      <c r="V10" s="25" t="s">
        <v>78</v>
      </c>
      <c r="W10" s="25">
        <v>18</v>
      </c>
      <c r="X10" s="26"/>
      <c r="Y10" s="23" t="str">
        <f ca="1">IF(OR('Simulasi BPR'!M13&gt;90%,'Simulasi BPR'!I7&gt;Ref!AC3,'Simulasi BPR'!J13&gt;Ref!AC12,'Simulasi BPR'!G13&gt;Ref!AC10),"OVER","OK")</f>
        <v>OK</v>
      </c>
      <c r="Z10" s="51" t="s">
        <v>9</v>
      </c>
      <c r="AA10" s="51" t="s">
        <v>131</v>
      </c>
      <c r="AC10" s="42">
        <f ca="1">IF(AC8&lt;85,AC9,0)</f>
        <v>120</v>
      </c>
      <c r="AD10" s="43"/>
    </row>
    <row r="11" spans="1:30" x14ac:dyDescent="0.2">
      <c r="A11">
        <v>9</v>
      </c>
      <c r="B11" s="52" t="s">
        <v>172</v>
      </c>
      <c r="C11" s="1">
        <f>IF(OR('Simulasi BPR'!$F$4=Ref!$J$4,'Simulasi BPR'!F4=Ref!$J$5),2%,0%)</f>
        <v>0</v>
      </c>
      <c r="J11" s="2">
        <v>204</v>
      </c>
      <c r="K11" s="32" t="s">
        <v>145</v>
      </c>
      <c r="M11" s="53">
        <f>'Simulasi BPR'!G13</f>
        <v>120</v>
      </c>
      <c r="N11" s="54">
        <f>M11/12</f>
        <v>10</v>
      </c>
      <c r="O11" s="54">
        <f>ROUNDUP(N11,0)</f>
        <v>10</v>
      </c>
      <c r="P11" s="50"/>
      <c r="Q11" s="55">
        <f>IF(M10="ASABRI",300000,60000*O11)</f>
        <v>600000</v>
      </c>
      <c r="R11" s="8"/>
      <c r="U11" s="25" t="s">
        <v>99</v>
      </c>
      <c r="V11" s="25" t="s">
        <v>79</v>
      </c>
      <c r="W11" s="25">
        <v>15</v>
      </c>
      <c r="X11" s="26"/>
      <c r="Y11" s="56" t="s">
        <v>113</v>
      </c>
      <c r="Z11" s="57">
        <v>0.01</v>
      </c>
      <c r="AA11" s="57">
        <v>0.01</v>
      </c>
      <c r="AD11" s="43"/>
    </row>
    <row r="12" spans="1:30" x14ac:dyDescent="0.25">
      <c r="A12">
        <v>10</v>
      </c>
      <c r="B12" s="32" t="s">
        <v>170</v>
      </c>
      <c r="C12" s="1">
        <f>0.4%*$O$11</f>
        <v>0.04</v>
      </c>
      <c r="J12" s="2">
        <v>205</v>
      </c>
      <c r="K12" s="32" t="s">
        <v>146</v>
      </c>
      <c r="M12" s="8"/>
      <c r="N12" s="8"/>
      <c r="O12" s="8"/>
      <c r="P12" s="8"/>
      <c r="Q12" s="8"/>
      <c r="R12" s="8"/>
      <c r="U12" s="25" t="s">
        <v>99</v>
      </c>
      <c r="V12" s="25" t="s">
        <v>80</v>
      </c>
      <c r="W12" s="25">
        <v>36</v>
      </c>
      <c r="X12" s="26"/>
      <c r="Y12" s="23"/>
      <c r="Z12" s="40"/>
      <c r="AA12" s="35"/>
      <c r="AB12" s="58" t="s">
        <v>24</v>
      </c>
      <c r="AC12" s="59">
        <f>IF(OR('Simulasi BPR'!C7="BPR KOTA MADIUN",'Simulasi BPR'!C7="BPRS Bhakti Sumekar"),200000000,150000000)</f>
        <v>200000000</v>
      </c>
      <c r="AD12" s="43"/>
    </row>
    <row r="13" spans="1:30" x14ac:dyDescent="0.25">
      <c r="A13">
        <v>11</v>
      </c>
      <c r="B13" s="60" t="s">
        <v>171</v>
      </c>
      <c r="C13" s="61">
        <f ca="1">C9-SUM(C10:C12)</f>
        <v>0.215</v>
      </c>
      <c r="U13" s="25" t="s">
        <v>99</v>
      </c>
      <c r="V13" s="25" t="s">
        <v>81</v>
      </c>
      <c r="W13" s="25">
        <v>18</v>
      </c>
      <c r="X13" s="26"/>
      <c r="Y13" s="62">
        <f>IF('Simulasi BPR'!C7="BPR KOTA MADIUN",200000000,150000000)</f>
        <v>200000000</v>
      </c>
      <c r="Z13" s="27"/>
      <c r="AA13" s="35"/>
      <c r="AB13" s="63"/>
      <c r="AC13" s="59">
        <f ca="1">IF(AC8&lt;AC2,0,IF(AC8&lt;AC3,AC12,IF(AC8&gt;=AC3,0)))</f>
        <v>200000000</v>
      </c>
      <c r="AD13" s="64"/>
    </row>
    <row r="14" spans="1:30" x14ac:dyDescent="0.25">
      <c r="A14">
        <v>12</v>
      </c>
      <c r="B14" s="196" t="s">
        <v>182</v>
      </c>
      <c r="C14" s="197">
        <f>C3*12</f>
        <v>0.10799999999999998</v>
      </c>
      <c r="D14" s="65">
        <f>C17*'Simulasi BPR'!J13</f>
        <v>0</v>
      </c>
      <c r="U14" s="25" t="s">
        <v>99</v>
      </c>
      <c r="V14" s="25" t="s">
        <v>82</v>
      </c>
      <c r="W14" s="25">
        <v>15</v>
      </c>
      <c r="X14" s="26"/>
      <c r="Y14" s="23">
        <f>IF('Simulasi BPR'!C7="BPR KOTA MADIUN",180,120)</f>
        <v>180</v>
      </c>
      <c r="Z14" s="40"/>
      <c r="AA14" s="35"/>
      <c r="AB14" s="58" t="s">
        <v>49</v>
      </c>
      <c r="AC14" s="66">
        <f>'Simulasi BPR'!$F$10*90%</f>
        <v>1575000</v>
      </c>
      <c r="AD14" s="64"/>
    </row>
    <row r="15" spans="1:30" x14ac:dyDescent="0.25">
      <c r="A15">
        <v>13</v>
      </c>
      <c r="U15" s="25" t="s">
        <v>99</v>
      </c>
      <c r="V15" s="25" t="s">
        <v>83</v>
      </c>
      <c r="W15" s="25">
        <v>11</v>
      </c>
      <c r="X15" s="26"/>
      <c r="Y15" s="23"/>
      <c r="Z15" s="67">
        <f ca="1">IF($AC$10&lt;=Asuransi!C3,Asuransi!C3,IF($AC$10&lt;Asuransi!D3,Asuransi!C3,IF($AC$10&lt;Asuransi!E3,Asuransi!D3,IF($AC$10&lt;Asuransi!F3,Asuransi!E3,IF($AC$10&lt;Asuransi!G3,Asuransi!F3,IF($AC$10&lt;Asuransi!H3,Asuransi!G3,IF($AC$10&lt;Asuransi!I3,Asuransi!H3,IF($AC$10&lt;Asuransi!J3,Asuransi!I3,IF($AC$10&lt;Asuransi!K3,Asuransi!J3,IF($AC$10&lt;Asuransi!L3,Asuransi!K3,IF($AC$10&lt;Asuransi!M3,Asuransi!L3,IF($AC$10&lt;Asuransi!N3,Asuransi!M3,IF($AC$10&lt;Asuransi!O3,Asuransi!N3,IF($AC$10&lt;Asuransi!P3,Asuransi!O3,0))))))))))))))</f>
        <v>0</v>
      </c>
      <c r="AA15" s="68"/>
      <c r="AB15" s="58" t="s">
        <v>25</v>
      </c>
      <c r="AC15" s="66">
        <f>AC14*90%</f>
        <v>1417500</v>
      </c>
      <c r="AD15" s="64"/>
    </row>
    <row r="16" spans="1:30" x14ac:dyDescent="0.25">
      <c r="A16">
        <v>14</v>
      </c>
      <c r="U16" s="25" t="s">
        <v>99</v>
      </c>
      <c r="V16" s="25" t="s">
        <v>84</v>
      </c>
      <c r="W16" s="25">
        <v>18</v>
      </c>
      <c r="X16" s="26"/>
      <c r="Y16" s="23"/>
      <c r="Z16" s="67">
        <f>ROUNDUP('Simulasi BPR'!G13/12,0)</f>
        <v>10</v>
      </c>
      <c r="AA16" s="68"/>
      <c r="AD16" s="64"/>
    </row>
    <row r="17" spans="1:31" x14ac:dyDescent="0.25">
      <c r="A17">
        <v>15</v>
      </c>
      <c r="B17" s="32"/>
      <c r="U17" s="25" t="s">
        <v>99</v>
      </c>
      <c r="V17" s="25" t="s">
        <v>85</v>
      </c>
      <c r="W17" s="25">
        <v>12</v>
      </c>
      <c r="X17" s="26"/>
      <c r="Y17" s="23"/>
      <c r="Z17" s="67">
        <f ca="1">IF('Simulasi BPR'!J7&lt;6,'Simulasi BPR'!I7,'Simulasi BPR'!I7+1)</f>
        <v>74</v>
      </c>
      <c r="AA17" s="69" t="b">
        <f>IF('Simulasi BPR'!C5=N37,R37,IF('Simulasi BPR'!C5=N38,R38,IF('Simulasi BPR'!C5=N39,R39,IF('Simulasi BPR'!C5=N40,R40,IF('Simulasi BPR'!C5=N41,R41,IF('Simulasi BPR'!C5=N42,R42,IF('Simulasi BPR'!C5=N43,R43,IF('Simulasi BPR'!C5=N44,R44,IF('Simulasi BPR'!C5=N45,R45,IF('Simulasi BPR'!C5=N46,R46,IF('Simulasi BPR'!C5=N47,R47,IF('Simulasi BPR'!C5=N48,R48,IF('Simulasi BPR'!C5=N49,R49,IF('Simulasi BPR'!C5=N50,R50,IF('Simulasi BPR'!C5=N51,R51)))))))))))))))</f>
        <v>0</v>
      </c>
      <c r="AB17" s="70" t="s">
        <v>181</v>
      </c>
      <c r="AC17" s="71">
        <f>(AC14*'Simulasi BPR'!G13)/(1+(C3*'Simulasi BPR'!G13))</f>
        <v>90865384.615384609</v>
      </c>
      <c r="AD17" s="36"/>
    </row>
    <row r="18" spans="1:31" x14ac:dyDescent="0.25">
      <c r="U18" s="25" t="s">
        <v>99</v>
      </c>
      <c r="V18" s="25" t="s">
        <v>85</v>
      </c>
      <c r="W18" s="25">
        <v>12</v>
      </c>
      <c r="X18" s="26"/>
      <c r="Y18" s="23"/>
      <c r="Z18" s="72"/>
      <c r="AA18" s="69" t="b">
        <f>IF('Simulasi BPR'!C6=N38,R38,IF('Simulasi BPR'!C6=N39,R39,IF('Simulasi BPR'!C6=N40,R40,IF('Simulasi BPR'!C6=N41,R41,IF('Simulasi BPR'!C6=N42,R42,IF('Simulasi BPR'!C6=N43,R43,IF('Simulasi BPR'!C6=N44,R44,IF('Simulasi BPR'!C6=N45,R45,IF('Simulasi BPR'!C6=N46,R46,IF('Simulasi BPR'!C6=N47,R47,IF('Simulasi BPR'!C6=N48,R48,IF('Simulasi BPR'!C6=N49,R49,IF('Simulasi BPR'!C6=N50,R50,IF('Simulasi BPR'!C6=N51,R51,IF('Simulasi BPR'!C6=N52,R52)))))))))))))))</f>
        <v>0</v>
      </c>
      <c r="AB18" s="70"/>
      <c r="AC18" s="71">
        <f ca="1">FLOOR(IF(AC17&lt;=AC13,AC17,AC13),100000)</f>
        <v>90800000</v>
      </c>
      <c r="AD18" s="36"/>
    </row>
    <row r="19" spans="1:31" x14ac:dyDescent="0.25">
      <c r="U19" s="25" t="s">
        <v>99</v>
      </c>
      <c r="V19" s="25" t="s">
        <v>85</v>
      </c>
      <c r="W19" s="25">
        <v>12</v>
      </c>
      <c r="X19" s="26"/>
      <c r="Y19" s="23"/>
      <c r="Z19" s="72"/>
      <c r="AA19" s="69">
        <f>IF('Simulasi BPR'!C7=N39,R39,IF('Simulasi BPR'!C7=N40,R40,IF('Simulasi BPR'!C7=N41,R41,IF('Simulasi BPR'!C7=N42,R42,IF('Simulasi BPR'!C7=N43,R43,IF('Simulasi BPR'!C7=N44,R44,IF('Simulasi BPR'!C7=N45,R45,IF('Simulasi BPR'!C7=N46,R46,IF('Simulasi BPR'!C7=N47,R47,IF('Simulasi BPR'!C7=N48,R48,IF('Simulasi BPR'!C7=N49,R49,IF('Simulasi BPR'!C7=N50,R50,IF('Simulasi BPR'!C7=N51,R51,IF('Simulasi BPR'!C7=N52,R52,IF('Simulasi BPR'!C7=N53,R53)))))))))))))))</f>
        <v>0.16926680636796906</v>
      </c>
      <c r="AB19" s="70" t="s">
        <v>58</v>
      </c>
      <c r="AC19" s="71">
        <f>PV(AA19/12,'Simulasi BPR'!$G$13,AC14)*-1</f>
        <v>90865384.589142233</v>
      </c>
      <c r="AD19" s="36"/>
    </row>
    <row r="20" spans="1:31" x14ac:dyDescent="0.25">
      <c r="U20" s="25" t="s">
        <v>99</v>
      </c>
      <c r="V20" s="25" t="s">
        <v>86</v>
      </c>
      <c r="W20" s="25">
        <v>17</v>
      </c>
      <c r="X20" s="26"/>
      <c r="Y20" s="23"/>
      <c r="Z20" s="72"/>
      <c r="AA20" s="72"/>
      <c r="AB20" s="73"/>
      <c r="AC20" s="59">
        <f ca="1">FLOOR(IF(AC19&lt;=AC13,AC19,AC13),100000)</f>
        <v>90800000</v>
      </c>
      <c r="AD20" s="36"/>
    </row>
    <row r="21" spans="1:31" x14ac:dyDescent="0.25">
      <c r="U21" s="25" t="s">
        <v>99</v>
      </c>
      <c r="V21" s="25" t="s">
        <v>87</v>
      </c>
      <c r="W21" s="25">
        <v>11</v>
      </c>
      <c r="X21" s="26"/>
      <c r="Y21" s="74"/>
      <c r="Z21" s="72"/>
      <c r="AA21" s="72"/>
      <c r="AD21" s="36"/>
    </row>
    <row r="22" spans="1:31" x14ac:dyDescent="0.25">
      <c r="U22" s="9"/>
      <c r="W22" s="10"/>
      <c r="X22" s="26"/>
      <c r="Y22" s="74"/>
      <c r="Z22" s="72"/>
      <c r="AA22" s="75">
        <f>(((AC22*'Simulasi BPR'!G13)-'Simulasi BPR'!J13)/'Simulasi BPR'!G13)/'Simulasi BPR'!J13</f>
        <v>9.835066084526313E-3</v>
      </c>
      <c r="AB22" s="70" t="s">
        <v>51</v>
      </c>
      <c r="AC22" s="71">
        <f>IF('Simulasi BPR'!C18="POS",(PMT(AA19/12,'Simulasi BPR'!$G$13,'Simulasi BPR'!$J$13)*-1)*$AA$35+$AA$30,IF('Simulasi BPR'!C18="Mantap",(PMT(AA19/12,'Simulasi BPR'!$G$13,'Simulasi BPR'!$J$13)*-1)*$AA$44+$AA$39,IF('Simulasi BPR'!C18="BSI",(PMT(AA19/12,'Simulasi BPR'!$G$13,'Simulasi BPR'!$J$13)*-1)*$AA$53+$AA$48,"")))</f>
        <v>1649690.6671416559</v>
      </c>
      <c r="AD22" s="36"/>
      <c r="AE22" s="70" t="s">
        <v>51</v>
      </c>
    </row>
    <row r="23" spans="1:31" x14ac:dyDescent="0.25">
      <c r="U23" s="25" t="s">
        <v>99</v>
      </c>
      <c r="V23" s="25" t="s">
        <v>88</v>
      </c>
      <c r="W23" s="25">
        <v>19</v>
      </c>
      <c r="X23" s="26"/>
      <c r="Y23" s="74"/>
      <c r="Z23" s="72"/>
      <c r="AA23" s="51">
        <f>RATE('Simulasi BPR'!G13,(1*(AA22))+(1/'Simulasi BPR'!G13),-1,0,0,1)*12</f>
        <v>0.18232390537818444</v>
      </c>
      <c r="AB23" s="70" t="s">
        <v>50</v>
      </c>
      <c r="AC23" s="71">
        <f>IF('Simulasi BPR'!C18="POS",(PMT(AA19/12,'Simulasi BPR'!$G$13,'Simulasi BPR'!$J$13)*-1)*$AA$35*$AA$34+$AA$30,IF('Simulasi BPR'!C18="Mantap",(PMT(AA19/12,'Simulasi BPR'!$G$13,'Simulasi BPR'!$J$13)*-1)*$AA$44*$AA$43+$AA$39,IF('Simulasi BPR'!C18="BSI",(PMT(AA19/12,'Simulasi BPR'!$G$13,'Simulasi BPR'!$J$13)*-1)*$AA$53*$AA$352+$AA$48,"")))</f>
        <v>79011.080021374524</v>
      </c>
      <c r="AD23" s="36"/>
    </row>
    <row r="24" spans="1:31" x14ac:dyDescent="0.25">
      <c r="U24" s="25" t="s">
        <v>99</v>
      </c>
      <c r="V24" s="25" t="s">
        <v>89</v>
      </c>
      <c r="W24" s="25">
        <v>23</v>
      </c>
      <c r="X24" s="26"/>
      <c r="Y24" s="74"/>
      <c r="Z24" s="72"/>
      <c r="AA24" s="75">
        <f>(((AC24*'Simulasi BPR'!G13)-'Simulasi BPR'!J13)/'Simulasi BPR'!G13)/'Simulasi BPR'!J13</f>
        <v>8.9649000049957569E-3</v>
      </c>
      <c r="AB24" s="70" t="s">
        <v>7</v>
      </c>
      <c r="AC24" s="71">
        <f>AC22-AC23</f>
        <v>1570679.5871202813</v>
      </c>
      <c r="AD24" s="36"/>
    </row>
    <row r="25" spans="1:31" x14ac:dyDescent="0.25">
      <c r="U25" s="25" t="s">
        <v>99</v>
      </c>
      <c r="V25" s="25" t="s">
        <v>90</v>
      </c>
      <c r="W25" s="25">
        <v>10</v>
      </c>
      <c r="X25" s="26"/>
      <c r="Y25" s="74"/>
      <c r="Z25" s="72"/>
      <c r="AA25" s="51">
        <f>RATE('Simulasi BPR'!G13,(1*(AA24))+(1/'Simulasi BPR'!G13),-1,0,0,1)*12</f>
        <v>0.16871196866896687</v>
      </c>
      <c r="AB25" s="76"/>
      <c r="AC25" s="76"/>
      <c r="AD25" s="77"/>
    </row>
    <row r="26" spans="1:31" x14ac:dyDescent="0.25">
      <c r="M26" s="23"/>
      <c r="N26" s="23"/>
      <c r="O26" s="23"/>
      <c r="P26" s="23"/>
      <c r="Q26" s="23"/>
      <c r="R26" s="23"/>
      <c r="S26" s="23"/>
      <c r="T26" s="23"/>
      <c r="U26" s="25" t="s">
        <v>99</v>
      </c>
      <c r="V26" s="25" t="s">
        <v>91</v>
      </c>
      <c r="W26" s="25">
        <v>12</v>
      </c>
      <c r="X26" s="26"/>
      <c r="Y26" s="78"/>
      <c r="Z26" s="35"/>
      <c r="AA26" s="35"/>
      <c r="AB26" s="79">
        <f>AC26+5000</f>
        <v>3392092.5972157358</v>
      </c>
      <c r="AC26" s="71">
        <v>3387092.5972157358</v>
      </c>
      <c r="AD26" s="80"/>
    </row>
    <row r="27" spans="1:31" x14ac:dyDescent="0.25">
      <c r="M27" s="76"/>
      <c r="N27" s="76"/>
      <c r="O27" s="76"/>
      <c r="P27" s="76"/>
      <c r="Q27" s="76"/>
      <c r="R27" s="76"/>
      <c r="S27" s="76"/>
      <c r="T27" s="76"/>
      <c r="U27" s="15"/>
      <c r="V27" s="15"/>
      <c r="W27" s="15"/>
      <c r="X27" s="26"/>
      <c r="Y27" s="76"/>
      <c r="Z27" s="76"/>
      <c r="AA27" s="76"/>
      <c r="AB27" s="79">
        <f>AC27+5000</f>
        <v>208225.55583294414</v>
      </c>
      <c r="AC27" s="71">
        <f>AC26*6%</f>
        <v>203225.55583294414</v>
      </c>
      <c r="AD27" s="80"/>
    </row>
    <row r="28" spans="1:31" x14ac:dyDescent="0.25">
      <c r="M28" s="76"/>
      <c r="N28" s="76"/>
      <c r="O28" s="76"/>
      <c r="P28" s="76"/>
      <c r="Q28" s="76"/>
      <c r="R28" s="76"/>
      <c r="S28" s="76"/>
      <c r="T28" s="76"/>
      <c r="U28" s="25" t="s">
        <v>99</v>
      </c>
      <c r="V28" s="25" t="s">
        <v>92</v>
      </c>
      <c r="W28" s="25">
        <v>16</v>
      </c>
      <c r="X28" s="26"/>
      <c r="Y28" s="76"/>
      <c r="Z28" s="76"/>
      <c r="AA28" s="76"/>
      <c r="AB28" s="76"/>
      <c r="AC28" s="71">
        <v>3183867.0413827915</v>
      </c>
      <c r="AD28" s="80"/>
    </row>
    <row r="29" spans="1:31" x14ac:dyDescent="0.25">
      <c r="M29" s="76"/>
      <c r="N29" s="76"/>
      <c r="O29" s="76"/>
      <c r="P29" s="76"/>
      <c r="Q29" s="76"/>
      <c r="R29" s="76"/>
      <c r="S29" s="76"/>
      <c r="T29" s="76"/>
      <c r="U29" s="15"/>
      <c r="V29" s="15"/>
      <c r="W29" s="15"/>
      <c r="X29" s="26"/>
      <c r="Y29" s="76"/>
      <c r="Z29" s="243" t="s">
        <v>19</v>
      </c>
      <c r="AA29" s="243"/>
      <c r="AB29" s="245"/>
      <c r="AC29" s="245"/>
      <c r="AD29" s="80"/>
    </row>
    <row r="30" spans="1:31" x14ac:dyDescent="0.25">
      <c r="M30" s="76"/>
      <c r="N30" s="76"/>
      <c r="O30" s="76"/>
      <c r="P30" s="76"/>
      <c r="Q30" s="76"/>
      <c r="R30" s="76"/>
      <c r="S30" s="76"/>
      <c r="T30" s="76"/>
      <c r="U30" s="25" t="s">
        <v>100</v>
      </c>
      <c r="V30" s="25" t="s">
        <v>93</v>
      </c>
      <c r="W30" s="25">
        <v>11</v>
      </c>
      <c r="X30" s="26"/>
      <c r="Y30" s="76"/>
      <c r="Z30" s="81" t="s">
        <v>149</v>
      </c>
      <c r="AA30" s="82">
        <v>5000</v>
      </c>
      <c r="AB30" s="76"/>
      <c r="AC30" s="71"/>
      <c r="AD30" s="80"/>
    </row>
    <row r="31" spans="1:31" x14ac:dyDescent="0.25">
      <c r="M31" s="76"/>
      <c r="N31" s="76"/>
      <c r="O31" s="76"/>
      <c r="P31" s="76"/>
      <c r="Q31" s="76"/>
      <c r="R31" s="76"/>
      <c r="S31" s="76"/>
      <c r="T31" s="76"/>
      <c r="U31" s="15"/>
      <c r="V31" s="15"/>
      <c r="W31" s="15"/>
      <c r="X31" s="26"/>
      <c r="Y31" s="76"/>
      <c r="Z31" s="81" t="s">
        <v>150</v>
      </c>
      <c r="AA31" s="83">
        <v>0.01</v>
      </c>
      <c r="AB31" s="84" t="s">
        <v>156</v>
      </c>
      <c r="AC31" s="85">
        <v>0</v>
      </c>
      <c r="AD31" s="80"/>
    </row>
    <row r="32" spans="1:31" x14ac:dyDescent="0.25">
      <c r="M32" s="86"/>
      <c r="N32" s="76"/>
      <c r="O32" s="76"/>
      <c r="P32" s="76"/>
      <c r="Q32" s="76"/>
      <c r="R32" s="76"/>
      <c r="T32" s="76"/>
      <c r="U32" s="25" t="s">
        <v>100</v>
      </c>
      <c r="V32" s="25" t="s">
        <v>94</v>
      </c>
      <c r="W32" s="25">
        <v>24</v>
      </c>
      <c r="X32" s="26"/>
      <c r="Y32" s="76"/>
      <c r="Z32" s="81" t="s">
        <v>151</v>
      </c>
      <c r="AA32" s="83">
        <v>0.01</v>
      </c>
      <c r="AB32" s="76"/>
      <c r="AC32" s="87"/>
      <c r="AD32" s="80"/>
    </row>
    <row r="33" spans="13:30" x14ac:dyDescent="0.25">
      <c r="M33" s="86"/>
      <c r="N33" s="76"/>
      <c r="O33" s="76"/>
      <c r="P33" s="76"/>
      <c r="Q33" s="76"/>
      <c r="R33" s="76"/>
      <c r="T33" s="76"/>
      <c r="U33" s="25" t="s">
        <v>100</v>
      </c>
      <c r="V33" s="25" t="s">
        <v>95</v>
      </c>
      <c r="W33" s="25">
        <v>42</v>
      </c>
      <c r="X33" s="26"/>
      <c r="Y33" s="76"/>
      <c r="Z33" s="81" t="s">
        <v>152</v>
      </c>
      <c r="AA33" s="83">
        <f>4%*111%</f>
        <v>4.4400000000000002E-2</v>
      </c>
      <c r="AB33" s="76"/>
      <c r="AC33" s="87"/>
      <c r="AD33" s="80"/>
    </row>
    <row r="34" spans="13:30" x14ac:dyDescent="0.25">
      <c r="M34" s="86"/>
      <c r="N34" s="86"/>
      <c r="O34" s="86"/>
      <c r="P34" s="86"/>
      <c r="Q34" s="86"/>
      <c r="R34" s="86"/>
      <c r="T34" s="76"/>
      <c r="U34" s="25" t="s">
        <v>100</v>
      </c>
      <c r="V34" s="25" t="s">
        <v>96</v>
      </c>
      <c r="W34" s="25">
        <v>38</v>
      </c>
      <c r="X34" s="26"/>
      <c r="Y34" s="76"/>
      <c r="Z34" s="81" t="s">
        <v>153</v>
      </c>
      <c r="AA34" s="83">
        <f>SUM(AA31:AA33)</f>
        <v>6.4399999999999999E-2</v>
      </c>
      <c r="AB34" s="76"/>
      <c r="AC34" s="87"/>
      <c r="AD34" s="80"/>
    </row>
    <row r="35" spans="13:30" x14ac:dyDescent="0.25">
      <c r="M35" s="86"/>
      <c r="N35" s="86"/>
      <c r="O35" s="86"/>
      <c r="P35" s="86"/>
      <c r="Q35" s="86"/>
      <c r="R35" s="86"/>
      <c r="T35" s="23"/>
      <c r="U35" s="25" t="s">
        <v>100</v>
      </c>
      <c r="V35" s="25" t="s">
        <v>97</v>
      </c>
      <c r="W35" s="25">
        <v>46</v>
      </c>
      <c r="X35" s="26"/>
      <c r="Y35" s="23"/>
      <c r="Z35" s="81" t="s">
        <v>154</v>
      </c>
      <c r="AA35" s="83">
        <f>1+AA34</f>
        <v>1.0644</v>
      </c>
      <c r="AB35" s="76"/>
      <c r="AC35" s="87"/>
      <c r="AD35" s="80"/>
    </row>
    <row r="36" spans="13:30" x14ac:dyDescent="0.25">
      <c r="M36" s="86"/>
      <c r="N36" s="86"/>
      <c r="O36" s="86"/>
      <c r="P36" s="86"/>
      <c r="Q36" s="86"/>
      <c r="R36" s="86"/>
      <c r="T36" s="23"/>
      <c r="U36" s="88"/>
      <c r="V36" s="88"/>
      <c r="W36" s="88"/>
      <c r="X36" s="26"/>
      <c r="Y36" s="78"/>
      <c r="Z36" s="81" t="s">
        <v>155</v>
      </c>
      <c r="AA36" s="89">
        <f>AA35</f>
        <v>1.0644</v>
      </c>
      <c r="AB36" s="76"/>
      <c r="AC36" s="90"/>
      <c r="AD36" s="80"/>
    </row>
    <row r="37" spans="13:30" x14ac:dyDescent="0.25">
      <c r="Q37" s="51" t="s">
        <v>114</v>
      </c>
      <c r="R37" s="51" t="s">
        <v>114</v>
      </c>
      <c r="S37" s="51" t="s">
        <v>9</v>
      </c>
      <c r="T37" s="51" t="s">
        <v>131</v>
      </c>
      <c r="U37" s="25" t="s">
        <v>100</v>
      </c>
      <c r="V37" s="25" t="s">
        <v>98</v>
      </c>
      <c r="W37" s="25">
        <v>22</v>
      </c>
      <c r="X37" s="26"/>
      <c r="Y37" s="78"/>
      <c r="Z37" s="23"/>
      <c r="AA37" s="23"/>
      <c r="AB37" s="30"/>
      <c r="AC37" s="76"/>
      <c r="AD37" s="80"/>
    </row>
    <row r="38" spans="13:30" x14ac:dyDescent="0.25">
      <c r="M38" s="91" t="s">
        <v>121</v>
      </c>
      <c r="Q38" s="51" t="s">
        <v>30</v>
      </c>
      <c r="R38" s="51" t="s">
        <v>31</v>
      </c>
      <c r="T38" s="8"/>
      <c r="U38" s="25"/>
      <c r="V38" s="25"/>
      <c r="W38" s="26"/>
      <c r="X38" s="92"/>
      <c r="Y38" s="78"/>
      <c r="Z38" s="243" t="s">
        <v>158</v>
      </c>
      <c r="AA38" s="243"/>
      <c r="AB38" s="30"/>
      <c r="AC38" s="76"/>
      <c r="AD38" s="80"/>
    </row>
    <row r="39" spans="13:30" x14ac:dyDescent="0.25">
      <c r="M39" s="86">
        <v>1</v>
      </c>
      <c r="N39" s="4" t="s">
        <v>115</v>
      </c>
      <c r="Q39" s="57">
        <v>0.01</v>
      </c>
      <c r="R39" s="93">
        <f>RATE('Simulasi BPR'!$G13,(1*(Q39))+(1/'Simulasi BPR'!$G13),-1,0,0,1)*12</f>
        <v>0.18487172549143022</v>
      </c>
      <c r="S39" s="57">
        <v>0.01</v>
      </c>
      <c r="T39" s="57">
        <v>0.01</v>
      </c>
      <c r="U39" s="25"/>
      <c r="V39" s="25"/>
      <c r="W39" s="88"/>
      <c r="X39" s="92"/>
      <c r="Y39" s="78"/>
      <c r="Z39" s="81" t="s">
        <v>149</v>
      </c>
      <c r="AA39" s="82">
        <v>5000</v>
      </c>
      <c r="AB39" s="30"/>
      <c r="AC39" s="76"/>
      <c r="AD39" s="80"/>
    </row>
    <row r="40" spans="13:30" x14ac:dyDescent="0.25">
      <c r="M40" s="86">
        <v>2</v>
      </c>
      <c r="N40" s="4" t="s">
        <v>116</v>
      </c>
      <c r="Q40" s="57">
        <v>0.01</v>
      </c>
      <c r="R40" s="93">
        <f>RATE('Simulasi BPR'!$G13,(1*(Q40))+(1/'Simulasi BPR'!$G13),-1,0,0,1)*12</f>
        <v>0.18487172549143022</v>
      </c>
      <c r="S40" s="57">
        <v>0.01</v>
      </c>
      <c r="T40" s="57">
        <v>0.01</v>
      </c>
      <c r="U40" s="25"/>
      <c r="V40" s="25"/>
      <c r="W40" s="88"/>
      <c r="X40" s="92"/>
      <c r="Y40" s="76"/>
      <c r="Z40" s="81" t="s">
        <v>160</v>
      </c>
      <c r="AA40" s="83">
        <v>0</v>
      </c>
      <c r="AB40" s="30"/>
      <c r="AC40" s="76"/>
      <c r="AD40" s="80"/>
    </row>
    <row r="41" spans="13:30" x14ac:dyDescent="0.25">
      <c r="M41" s="86">
        <v>3</v>
      </c>
      <c r="N41" s="4" t="s">
        <v>117</v>
      </c>
      <c r="Q41" s="57">
        <v>0.01</v>
      </c>
      <c r="R41" s="93">
        <f>RATE('Simulasi BPR'!$G13,(1*(Q41))+(1/'Simulasi BPR'!$G13),-1,0,0,1)*12</f>
        <v>0.18487172549143022</v>
      </c>
      <c r="S41" s="57">
        <v>0.01</v>
      </c>
      <c r="T41" s="57">
        <v>0.01</v>
      </c>
      <c r="U41" s="25"/>
      <c r="V41" s="25"/>
      <c r="W41" s="26"/>
      <c r="X41" s="92"/>
      <c r="Y41" s="76"/>
      <c r="Z41" s="81" t="s">
        <v>151</v>
      </c>
      <c r="AA41" s="83">
        <v>0.01</v>
      </c>
      <c r="AB41" s="30"/>
      <c r="AC41" s="76"/>
      <c r="AD41" s="80"/>
    </row>
    <row r="42" spans="13:30" x14ac:dyDescent="0.25">
      <c r="M42" s="86">
        <v>4</v>
      </c>
      <c r="N42" s="4" t="s">
        <v>118</v>
      </c>
      <c r="Q42" s="57">
        <v>0.01</v>
      </c>
      <c r="R42" s="93">
        <f>RATE('Simulasi BPR'!$G13,(1*(Q42))+(1/'Simulasi BPR'!$G13),-1,0,0,1)*12</f>
        <v>0.18487172549143022</v>
      </c>
      <c r="S42" s="57">
        <v>0.01</v>
      </c>
      <c r="T42" s="57">
        <v>0.01</v>
      </c>
      <c r="U42" s="88"/>
      <c r="V42" s="88"/>
      <c r="W42" s="26"/>
      <c r="X42" s="92"/>
      <c r="Y42" s="76"/>
      <c r="Z42" s="81" t="s">
        <v>159</v>
      </c>
      <c r="AA42" s="83">
        <v>3.5000000000000003E-2</v>
      </c>
      <c r="AB42" s="30"/>
      <c r="AC42" s="76"/>
      <c r="AD42" s="80"/>
    </row>
    <row r="43" spans="13:30" x14ac:dyDescent="0.25">
      <c r="M43" s="86">
        <v>5</v>
      </c>
      <c r="N43" s="4" t="s">
        <v>119</v>
      </c>
      <c r="Q43" s="57">
        <f>Ref!C3</f>
        <v>8.9999999999999993E-3</v>
      </c>
      <c r="R43" s="93">
        <f>RATE('Simulasi BPR'!$G13,(1*(Q43))+(1/'Simulasi BPR'!$G13),-1,0,0,1)*12</f>
        <v>0.16926680636796906</v>
      </c>
      <c r="S43" s="57">
        <v>0.01</v>
      </c>
      <c r="T43" s="57">
        <v>0.01</v>
      </c>
      <c r="U43" s="25"/>
      <c r="V43" s="25"/>
      <c r="W43" s="26"/>
      <c r="X43" s="92"/>
      <c r="Y43" s="76"/>
      <c r="Z43" s="81" t="s">
        <v>153</v>
      </c>
      <c r="AA43" s="83">
        <f>SUM(AA40:AA42)</f>
        <v>4.5000000000000005E-2</v>
      </c>
      <c r="AB43" s="30"/>
      <c r="AC43" s="76"/>
      <c r="AD43" s="80"/>
    </row>
    <row r="44" spans="13:30" x14ac:dyDescent="0.25">
      <c r="M44" s="86">
        <v>6</v>
      </c>
      <c r="N44" s="4" t="s">
        <v>163</v>
      </c>
      <c r="Q44" s="57">
        <f>Ref!C4</f>
        <v>0</v>
      </c>
      <c r="R44" s="93">
        <f>RATE('Simulasi BPR'!$G13,(1*(Q44))+(1/'Simulasi BPR'!$G13),-1,0,0,1)*12</f>
        <v>8.2767650019942942E-9</v>
      </c>
      <c r="S44" s="57">
        <v>0.01</v>
      </c>
      <c r="T44" s="57">
        <v>0.01</v>
      </c>
      <c r="U44" s="25"/>
      <c r="V44" s="25"/>
      <c r="W44" s="26"/>
      <c r="X44" s="92"/>
      <c r="Y44" s="23"/>
      <c r="Z44" s="81" t="s">
        <v>154</v>
      </c>
      <c r="AA44" s="83">
        <f>1+AA43</f>
        <v>1.0449999999999999</v>
      </c>
      <c r="AB44" s="23"/>
      <c r="AC44" s="76"/>
      <c r="AD44" s="80"/>
    </row>
    <row r="45" spans="13:30" x14ac:dyDescent="0.25">
      <c r="M45" s="86">
        <v>7</v>
      </c>
      <c r="N45" s="4" t="s">
        <v>120</v>
      </c>
      <c r="Q45" s="57">
        <v>0.01</v>
      </c>
      <c r="R45" s="93">
        <f>RATE('Simulasi BPR'!$G13,(1*(Q45))+(1/'Simulasi BPR'!$G13),-1,0,0,1)*12</f>
        <v>0.18487172549143022</v>
      </c>
      <c r="S45" s="57">
        <v>0.01</v>
      </c>
      <c r="T45" s="57">
        <v>0.01</v>
      </c>
      <c r="U45" s="25"/>
      <c r="V45" s="25"/>
      <c r="W45" s="26"/>
      <c r="X45" s="92"/>
      <c r="Y45" s="23"/>
      <c r="Z45" s="81" t="s">
        <v>155</v>
      </c>
      <c r="AA45" s="89">
        <f>AA44</f>
        <v>1.0449999999999999</v>
      </c>
      <c r="AB45" s="23"/>
      <c r="AC45" s="76"/>
      <c r="AD45" s="80"/>
    </row>
    <row r="46" spans="13:30" x14ac:dyDescent="0.25">
      <c r="M46" s="86">
        <v>8</v>
      </c>
      <c r="N46" s="4" t="s">
        <v>123</v>
      </c>
      <c r="Q46" s="57">
        <v>0.01</v>
      </c>
      <c r="R46" s="93">
        <f>RATE('Simulasi BPR'!$G13,(1*(Q46))+(1/'Simulasi BPR'!$G13),-1,0,0,1)*12</f>
        <v>0.18487172549143022</v>
      </c>
      <c r="S46" s="57">
        <v>0.01</v>
      </c>
      <c r="T46" s="57">
        <v>0.01</v>
      </c>
      <c r="U46" s="25"/>
      <c r="V46" s="25"/>
      <c r="W46" s="26"/>
      <c r="X46" s="92"/>
      <c r="Y46" s="23"/>
      <c r="AB46" s="23"/>
      <c r="AC46" s="76"/>
      <c r="AD46" s="80"/>
    </row>
    <row r="47" spans="13:30" x14ac:dyDescent="0.25">
      <c r="M47" s="86">
        <v>9</v>
      </c>
      <c r="N47" s="4" t="s">
        <v>124</v>
      </c>
      <c r="Q47" s="57">
        <v>0.01</v>
      </c>
      <c r="R47" s="93">
        <f>RATE('Simulasi BPR'!$G13,(1*(Q47))+(1/'Simulasi BPR'!$G13),-1,0,0,1)*12</f>
        <v>0.18487172549143022</v>
      </c>
      <c r="S47" s="57">
        <v>0.01</v>
      </c>
      <c r="T47" s="57">
        <v>0.01</v>
      </c>
      <c r="U47" s="25"/>
      <c r="V47" s="25"/>
      <c r="W47" s="26"/>
      <c r="X47" s="92"/>
      <c r="Y47" s="23"/>
      <c r="Z47" s="243" t="s">
        <v>161</v>
      </c>
      <c r="AA47" s="243"/>
      <c r="AC47" s="76"/>
      <c r="AD47" s="80"/>
    </row>
    <row r="48" spans="13:30" x14ac:dyDescent="0.25">
      <c r="M48" s="86">
        <v>10</v>
      </c>
      <c r="N48" s="4" t="s">
        <v>125</v>
      </c>
      <c r="Q48" s="57">
        <v>0.01</v>
      </c>
      <c r="R48" s="93">
        <f>RATE('Simulasi BPR'!$G13,(1*(Q48))+(1/'Simulasi BPR'!$G13),-1,0,0,1)*12</f>
        <v>0.18487172549143022</v>
      </c>
      <c r="S48" s="57">
        <v>0.01</v>
      </c>
      <c r="T48" s="57">
        <v>0.01</v>
      </c>
      <c r="U48" s="25"/>
      <c r="V48" s="25"/>
      <c r="W48" s="26"/>
      <c r="X48" s="92"/>
      <c r="Y48" s="23"/>
      <c r="Z48" s="81" t="s">
        <v>149</v>
      </c>
      <c r="AA48" s="82">
        <v>5000</v>
      </c>
      <c r="AB48" s="23"/>
      <c r="AC48" s="94"/>
      <c r="AD48" s="80"/>
    </row>
    <row r="49" spans="13:30" x14ac:dyDescent="0.25">
      <c r="M49" s="86">
        <v>11</v>
      </c>
      <c r="N49" s="4" t="s">
        <v>126</v>
      </c>
      <c r="Q49" s="57">
        <v>0.01</v>
      </c>
      <c r="R49" s="93">
        <f>RATE('Simulasi BPR'!$G13,(1*(Q49))+(1/'Simulasi BPR'!$G13),-1,0,0,1)*12</f>
        <v>0.18487172549143022</v>
      </c>
      <c r="S49" s="57">
        <v>0.01</v>
      </c>
      <c r="T49" s="57">
        <v>0.01</v>
      </c>
      <c r="U49" s="25"/>
      <c r="V49" s="25"/>
      <c r="W49" s="26"/>
      <c r="X49" s="92"/>
      <c r="Y49" s="23"/>
      <c r="Z49" s="81" t="s">
        <v>160</v>
      </c>
      <c r="AA49" s="83">
        <v>0</v>
      </c>
      <c r="AB49" s="23"/>
      <c r="AC49" s="71"/>
      <c r="AD49" s="80"/>
    </row>
    <row r="50" spans="13:30" x14ac:dyDescent="0.25">
      <c r="M50" s="86">
        <v>12</v>
      </c>
      <c r="N50" s="4" t="s">
        <v>127</v>
      </c>
      <c r="Q50" s="57">
        <v>0.01</v>
      </c>
      <c r="R50" s="93">
        <f>RATE('Simulasi BPR'!$G13,(1*(Q50))+(1/'Simulasi BPR'!$G13),-1,0,0,1)*12</f>
        <v>0.18487172549143022</v>
      </c>
      <c r="S50" s="57">
        <v>0.01</v>
      </c>
      <c r="T50" s="57">
        <v>0.01</v>
      </c>
      <c r="U50" s="25"/>
      <c r="V50" s="25"/>
      <c r="W50" s="26"/>
      <c r="X50" s="92"/>
      <c r="Y50" s="23"/>
      <c r="Z50" s="81" t="s">
        <v>151</v>
      </c>
      <c r="AA50" s="83">
        <v>1.4999999999999999E-2</v>
      </c>
      <c r="AB50" s="23"/>
      <c r="AC50" s="59"/>
      <c r="AD50" s="80"/>
    </row>
    <row r="51" spans="13:30" x14ac:dyDescent="0.25">
      <c r="M51" s="86">
        <v>13</v>
      </c>
      <c r="N51" s="4" t="s">
        <v>128</v>
      </c>
      <c r="Q51" s="57">
        <v>0.01</v>
      </c>
      <c r="R51" s="93">
        <f>RATE('Simulasi BPR'!$G13,(1*(Q51))+(1/'Simulasi BPR'!$G13),-1,0,0,1)*12</f>
        <v>0.18487172549143022</v>
      </c>
      <c r="S51" s="57">
        <v>0.01</v>
      </c>
      <c r="T51" s="57">
        <v>0.01</v>
      </c>
      <c r="U51" s="25"/>
      <c r="V51" s="25"/>
      <c r="W51" s="26"/>
      <c r="X51" s="92"/>
      <c r="Y51" s="23"/>
      <c r="Z51" s="81" t="s">
        <v>162</v>
      </c>
      <c r="AA51" s="83">
        <v>0.02</v>
      </c>
      <c r="AB51" s="23"/>
      <c r="AC51" s="71"/>
      <c r="AD51" s="80"/>
    </row>
    <row r="52" spans="13:30" x14ac:dyDescent="0.25">
      <c r="M52" s="86">
        <v>14</v>
      </c>
      <c r="N52" s="4" t="s">
        <v>129</v>
      </c>
      <c r="Q52" s="57">
        <v>0.01</v>
      </c>
      <c r="R52" s="93">
        <f>RATE('Simulasi BPR'!$G13,(1*(Q52))+(1/'Simulasi BPR'!$G13),-1,0,0,1)*12</f>
        <v>0.18487172549143022</v>
      </c>
      <c r="S52" s="57">
        <v>0.01</v>
      </c>
      <c r="T52" s="57">
        <v>0.01</v>
      </c>
      <c r="U52" s="25"/>
      <c r="V52" s="25"/>
      <c r="W52" s="26"/>
      <c r="X52" s="92"/>
      <c r="Y52" s="23"/>
      <c r="Z52" s="81" t="s">
        <v>153</v>
      </c>
      <c r="AA52" s="83">
        <f>SUM(AA49:AA51)</f>
        <v>3.5000000000000003E-2</v>
      </c>
      <c r="AB52" s="23"/>
      <c r="AC52" s="95"/>
      <c r="AD52" s="80"/>
    </row>
    <row r="53" spans="13:30" x14ac:dyDescent="0.25">
      <c r="M53" s="86">
        <v>15</v>
      </c>
      <c r="N53" s="4" t="s">
        <v>130</v>
      </c>
      <c r="Q53" s="57">
        <v>0.01</v>
      </c>
      <c r="R53" s="93">
        <f>RATE('Simulasi BPR'!$G13,(1*(Q53))+(1/'Simulasi BPR'!$G13),-1,0,0,1)*12</f>
        <v>0.18487172549143022</v>
      </c>
      <c r="S53" s="57">
        <v>0.01</v>
      </c>
      <c r="T53" s="57">
        <v>0.01</v>
      </c>
      <c r="U53" s="25"/>
      <c r="V53" s="25"/>
      <c r="W53" s="26"/>
      <c r="X53" s="92"/>
      <c r="Y53" s="72"/>
      <c r="Z53" s="81" t="s">
        <v>154</v>
      </c>
      <c r="AA53" s="83">
        <f>1+AA52</f>
        <v>1.0349999999999999</v>
      </c>
      <c r="AC53" s="96"/>
      <c r="AD53" s="80"/>
    </row>
    <row r="54" spans="13:30" x14ac:dyDescent="0.25">
      <c r="M54" s="86"/>
      <c r="N54" s="86"/>
      <c r="O54" s="86"/>
      <c r="P54" s="86"/>
      <c r="Q54" s="86"/>
      <c r="R54" s="86"/>
      <c r="T54" s="25"/>
      <c r="U54" s="25"/>
      <c r="V54" s="25"/>
      <c r="W54" s="26"/>
      <c r="X54" s="92"/>
      <c r="Y54" s="72"/>
      <c r="Z54" s="81" t="s">
        <v>155</v>
      </c>
      <c r="AA54" s="89">
        <f>AA53</f>
        <v>1.0349999999999999</v>
      </c>
      <c r="AC54" s="97"/>
      <c r="AD54" s="13"/>
    </row>
    <row r="55" spans="13:30" x14ac:dyDescent="0.25">
      <c r="M55" s="86"/>
      <c r="N55" s="86"/>
      <c r="O55" s="86"/>
      <c r="P55" s="86"/>
      <c r="Q55" s="86"/>
      <c r="R55" s="86"/>
      <c r="T55" s="25"/>
      <c r="U55" s="25"/>
      <c r="V55" s="25"/>
      <c r="W55" s="26"/>
      <c r="X55" s="92"/>
      <c r="Y55" s="72"/>
      <c r="AC55" s="76"/>
      <c r="AD55" s="13"/>
    </row>
    <row r="56" spans="13:30" x14ac:dyDescent="0.25">
      <c r="M56" s="86"/>
      <c r="N56" s="86"/>
      <c r="O56" s="86"/>
      <c r="P56" s="86"/>
      <c r="Q56" s="86"/>
      <c r="R56" s="86"/>
      <c r="T56" s="25"/>
      <c r="U56" s="25"/>
      <c r="V56" s="25"/>
      <c r="W56" s="26"/>
      <c r="X56" s="92"/>
      <c r="Y56" s="72"/>
      <c r="AC56" s="66"/>
      <c r="AD56" s="13"/>
    </row>
    <row r="57" spans="13:30" x14ac:dyDescent="0.25">
      <c r="M57" s="86"/>
      <c r="N57" s="86"/>
      <c r="O57" s="86"/>
      <c r="P57" s="86"/>
      <c r="Q57" s="86"/>
      <c r="R57" s="86"/>
      <c r="T57" s="25"/>
      <c r="U57" s="25"/>
      <c r="V57" s="25"/>
      <c r="W57" s="26"/>
      <c r="X57" s="92"/>
      <c r="Y57" s="72"/>
      <c r="AC57" s="98"/>
      <c r="AD57" s="13"/>
    </row>
    <row r="58" spans="13:30" x14ac:dyDescent="0.25">
      <c r="M58" s="86"/>
      <c r="N58" s="86"/>
      <c r="O58" s="86"/>
      <c r="P58" s="86"/>
      <c r="Q58" s="86"/>
      <c r="R58" s="86"/>
      <c r="T58" s="25"/>
      <c r="U58" s="25"/>
      <c r="V58" s="25"/>
      <c r="W58" s="26"/>
      <c r="X58" s="92"/>
      <c r="Y58" s="72"/>
      <c r="AC58" s="59"/>
      <c r="AD58" s="13"/>
    </row>
    <row r="59" spans="13:30" x14ac:dyDescent="0.25">
      <c r="M59" s="86"/>
      <c r="N59" s="86"/>
      <c r="O59" s="86"/>
      <c r="P59" s="86"/>
      <c r="Q59" s="86"/>
      <c r="R59" s="86"/>
      <c r="W59" s="26"/>
      <c r="X59" s="92"/>
      <c r="Y59" s="30"/>
      <c r="Z59" s="30"/>
      <c r="AA59" s="30"/>
      <c r="AD59" s="13"/>
    </row>
    <row r="60" spans="13:30" x14ac:dyDescent="0.25">
      <c r="M60" s="86"/>
      <c r="N60" s="86"/>
      <c r="O60" s="86"/>
      <c r="P60" s="86"/>
      <c r="Q60" s="86"/>
      <c r="R60" s="86"/>
      <c r="T60" s="25"/>
      <c r="U60" s="25"/>
      <c r="V60" s="25"/>
      <c r="W60" s="26"/>
      <c r="X60" s="92"/>
      <c r="Y60" s="30"/>
      <c r="Z60" s="30"/>
      <c r="AA60" s="30"/>
      <c r="AD60" s="13"/>
    </row>
    <row r="61" spans="13:30" x14ac:dyDescent="0.25">
      <c r="M61" s="86"/>
      <c r="N61" s="86"/>
      <c r="O61" s="86"/>
      <c r="P61" s="86"/>
      <c r="Q61" s="86"/>
      <c r="R61" s="86"/>
      <c r="T61" s="25"/>
      <c r="U61" s="25"/>
      <c r="V61" s="25"/>
      <c r="W61" s="26"/>
      <c r="X61" s="92"/>
      <c r="Y61" s="30"/>
      <c r="Z61" s="30"/>
      <c r="AA61" s="30"/>
      <c r="AB61" s="30"/>
      <c r="AD61" s="13"/>
    </row>
    <row r="62" spans="13:30" x14ac:dyDescent="0.25">
      <c r="M62" s="86"/>
      <c r="N62" s="86"/>
      <c r="O62" s="86"/>
      <c r="P62" s="86"/>
      <c r="Q62" s="86"/>
      <c r="R62" s="86"/>
      <c r="T62" s="25"/>
      <c r="U62" s="25"/>
      <c r="V62" s="25"/>
      <c r="W62" s="26"/>
      <c r="X62" s="92"/>
      <c r="Y62" s="30"/>
      <c r="Z62" s="30"/>
      <c r="AA62" s="30"/>
      <c r="AB62" s="23"/>
      <c r="AD62" s="13"/>
    </row>
    <row r="63" spans="13:30" x14ac:dyDescent="0.25">
      <c r="M63" s="86"/>
      <c r="N63" s="86"/>
      <c r="O63" s="86"/>
      <c r="P63" s="86"/>
      <c r="Q63" s="86"/>
      <c r="R63" s="86"/>
      <c r="T63" s="25"/>
      <c r="U63" s="25"/>
      <c r="V63" s="25"/>
      <c r="W63" s="26"/>
      <c r="X63" s="92"/>
      <c r="Y63" s="30"/>
      <c r="Z63" s="30"/>
      <c r="AA63" s="30"/>
      <c r="AB63" s="30"/>
      <c r="AD63" s="13"/>
    </row>
    <row r="64" spans="13:30" x14ac:dyDescent="0.25">
      <c r="M64" s="86"/>
      <c r="N64" s="86"/>
      <c r="O64" s="86"/>
      <c r="P64" s="86"/>
      <c r="Q64" s="86"/>
      <c r="R64" s="86"/>
      <c r="T64" s="25"/>
      <c r="U64" s="25"/>
      <c r="V64" s="25"/>
      <c r="W64" s="26"/>
      <c r="X64" s="92"/>
      <c r="Y64" s="30"/>
      <c r="Z64" s="30"/>
      <c r="AA64" s="30"/>
      <c r="AB64" s="99"/>
      <c r="AD64" s="13"/>
    </row>
    <row r="65" spans="13:30" x14ac:dyDescent="0.25">
      <c r="M65" s="86"/>
      <c r="N65" s="86"/>
      <c r="O65" s="86"/>
      <c r="P65" s="86"/>
      <c r="Q65" s="86"/>
      <c r="R65" s="86"/>
      <c r="T65" s="25"/>
      <c r="U65" s="25"/>
      <c r="V65" s="25"/>
      <c r="W65" s="26"/>
      <c r="X65" s="92"/>
      <c r="Y65" s="30"/>
      <c r="Z65" s="30"/>
      <c r="AA65" s="30"/>
      <c r="AB65" s="23"/>
      <c r="AD65" s="13"/>
    </row>
    <row r="66" spans="13:30" x14ac:dyDescent="0.25">
      <c r="M66" s="86"/>
      <c r="N66" s="86"/>
      <c r="O66" s="86"/>
      <c r="P66" s="86"/>
      <c r="Q66" s="86"/>
      <c r="R66" s="86"/>
      <c r="T66" s="25"/>
      <c r="U66" s="25"/>
      <c r="V66" s="25"/>
      <c r="W66" s="26"/>
      <c r="X66" s="92"/>
      <c r="Y66" s="30"/>
      <c r="Z66" s="30"/>
      <c r="AA66" s="30"/>
      <c r="AB66" s="23"/>
      <c r="AD66" s="13"/>
    </row>
    <row r="67" spans="13:30" x14ac:dyDescent="0.25">
      <c r="M67" s="86"/>
      <c r="N67" s="86"/>
      <c r="O67" s="86"/>
      <c r="P67" s="86"/>
      <c r="Q67" s="86"/>
      <c r="R67" s="86"/>
      <c r="T67" s="25"/>
      <c r="U67" s="25"/>
      <c r="V67" s="25"/>
      <c r="W67" s="26"/>
      <c r="X67" s="92"/>
      <c r="Y67" s="30"/>
      <c r="Z67" s="30"/>
      <c r="AA67" s="30"/>
      <c r="AB67" s="23"/>
      <c r="AD67" s="13"/>
    </row>
    <row r="68" spans="13:30" x14ac:dyDescent="0.25">
      <c r="M68" s="86"/>
      <c r="N68" s="86"/>
      <c r="O68" s="86"/>
      <c r="P68" s="86"/>
      <c r="Q68" s="86"/>
      <c r="R68" s="86"/>
      <c r="T68" s="25"/>
      <c r="U68" s="25"/>
      <c r="V68" s="25"/>
      <c r="W68" s="26"/>
      <c r="X68" s="92"/>
      <c r="Y68" s="30"/>
      <c r="Z68" s="30"/>
      <c r="AA68" s="30"/>
      <c r="AB68" s="23"/>
      <c r="AD68" s="13"/>
    </row>
    <row r="69" spans="13:30" x14ac:dyDescent="0.25">
      <c r="M69" s="86"/>
      <c r="N69" s="86"/>
      <c r="O69" s="86"/>
      <c r="P69" s="86"/>
      <c r="Q69" s="86"/>
      <c r="R69" s="86"/>
      <c r="W69" s="26"/>
      <c r="X69" s="92"/>
      <c r="Y69" s="30"/>
      <c r="Z69" s="30"/>
      <c r="AA69" s="30"/>
      <c r="AB69" s="23"/>
      <c r="AD69" s="13"/>
    </row>
    <row r="70" spans="13:30" x14ac:dyDescent="0.25">
      <c r="M70" s="86"/>
      <c r="N70" s="86"/>
      <c r="O70" s="86"/>
      <c r="P70" s="86"/>
      <c r="Q70" s="86"/>
      <c r="R70" s="86"/>
      <c r="T70" s="25"/>
      <c r="U70" s="25"/>
      <c r="V70" s="25"/>
      <c r="W70" s="26"/>
      <c r="X70" s="92"/>
      <c r="Y70" s="30"/>
      <c r="Z70" s="30"/>
      <c r="AA70" s="30"/>
      <c r="AD70" s="13"/>
    </row>
    <row r="71" spans="13:30" x14ac:dyDescent="0.25">
      <c r="M71" s="86"/>
      <c r="N71" s="86"/>
      <c r="O71" s="86"/>
      <c r="P71" s="86"/>
      <c r="Q71" s="86"/>
      <c r="R71" s="86"/>
      <c r="T71" s="25"/>
      <c r="U71" s="25"/>
      <c r="V71" s="25"/>
      <c r="W71" s="26"/>
      <c r="X71" s="92"/>
      <c r="Y71" s="30"/>
      <c r="Z71" s="30"/>
      <c r="AA71" s="30"/>
      <c r="AB71" s="23"/>
      <c r="AD71" s="13"/>
    </row>
    <row r="72" spans="13:30" x14ac:dyDescent="0.25">
      <c r="M72" s="86"/>
      <c r="N72" s="86"/>
      <c r="O72" s="86"/>
      <c r="P72" s="86"/>
      <c r="Q72" s="86"/>
      <c r="R72" s="86"/>
      <c r="T72" s="25"/>
      <c r="U72" s="100"/>
      <c r="V72" s="25"/>
      <c r="W72" s="26"/>
      <c r="X72" s="92"/>
      <c r="Y72" s="30"/>
      <c r="Z72" s="30"/>
      <c r="AA72" s="30"/>
      <c r="AB72" s="23"/>
      <c r="AD72" s="13"/>
    </row>
    <row r="73" spans="13:30" x14ac:dyDescent="0.25">
      <c r="M73" s="86"/>
      <c r="N73" s="86"/>
      <c r="O73" s="86"/>
      <c r="P73" s="86"/>
      <c r="Q73" s="86"/>
      <c r="R73" s="86"/>
      <c r="W73" s="26"/>
      <c r="X73" s="92"/>
      <c r="Y73" s="30"/>
      <c r="Z73" s="30"/>
      <c r="AA73" s="30"/>
      <c r="AD73" s="13"/>
    </row>
    <row r="74" spans="13:30" x14ac:dyDescent="0.25">
      <c r="M74" s="86"/>
      <c r="N74" s="86"/>
      <c r="O74" s="86"/>
      <c r="P74" s="86"/>
      <c r="Q74" s="86"/>
      <c r="R74" s="86"/>
      <c r="T74" s="25"/>
      <c r="U74" s="25"/>
      <c r="V74" s="25"/>
      <c r="W74" s="26"/>
      <c r="X74" s="92"/>
      <c r="Y74" s="30"/>
      <c r="Z74" s="30"/>
      <c r="AA74" s="30"/>
      <c r="AD74" s="13"/>
    </row>
    <row r="75" spans="13:30" x14ac:dyDescent="0.25">
      <c r="M75" s="86"/>
      <c r="N75" s="86"/>
      <c r="O75" s="86"/>
      <c r="P75" s="86"/>
      <c r="Q75" s="86"/>
      <c r="R75" s="86"/>
      <c r="W75" s="26"/>
      <c r="X75" s="92"/>
      <c r="Y75" s="30"/>
      <c r="Z75" s="30"/>
      <c r="AA75" s="30"/>
      <c r="AD75" s="13"/>
    </row>
    <row r="76" spans="13:30" x14ac:dyDescent="0.25">
      <c r="M76" s="86"/>
      <c r="N76" s="86"/>
      <c r="O76" s="86"/>
      <c r="P76" s="86"/>
      <c r="Q76" s="86"/>
      <c r="R76" s="86"/>
      <c r="T76" s="25"/>
      <c r="U76" s="25"/>
      <c r="V76" s="25"/>
      <c r="W76" s="26"/>
      <c r="X76" s="92"/>
      <c r="Y76" s="30"/>
      <c r="Z76" s="30"/>
      <c r="AA76" s="30"/>
      <c r="AD76" s="13"/>
    </row>
    <row r="77" spans="13:30" x14ac:dyDescent="0.25">
      <c r="M77" s="86"/>
      <c r="N77" s="86"/>
      <c r="O77" s="86"/>
      <c r="P77" s="86"/>
      <c r="Q77" s="86"/>
      <c r="R77" s="86"/>
      <c r="W77" s="26"/>
      <c r="X77" s="92"/>
      <c r="Y77" s="72"/>
      <c r="AD77" s="13"/>
    </row>
    <row r="78" spans="13:30" x14ac:dyDescent="0.25">
      <c r="M78" s="86"/>
      <c r="N78" s="86"/>
      <c r="O78" s="86"/>
      <c r="P78" s="86"/>
      <c r="Q78" s="86"/>
      <c r="R78" s="86"/>
      <c r="T78" s="25"/>
      <c r="U78" s="25"/>
      <c r="V78" s="25"/>
      <c r="W78" s="26"/>
      <c r="X78" s="92"/>
      <c r="Y78" s="72"/>
      <c r="AD78" s="13"/>
    </row>
    <row r="79" spans="13:30" x14ac:dyDescent="0.25">
      <c r="M79" s="86"/>
      <c r="N79" s="86"/>
      <c r="O79" s="86"/>
      <c r="P79" s="86"/>
      <c r="Q79" s="86"/>
      <c r="R79" s="86"/>
      <c r="W79" s="26"/>
      <c r="X79" s="92"/>
      <c r="Y79" s="72"/>
      <c r="AD79" s="13"/>
    </row>
    <row r="80" spans="13:30" x14ac:dyDescent="0.25">
      <c r="M80" s="86"/>
      <c r="N80" s="86"/>
      <c r="O80" s="86"/>
      <c r="P80" s="86"/>
      <c r="Q80" s="86"/>
      <c r="R80" s="86"/>
      <c r="T80" s="25"/>
      <c r="U80" s="25"/>
      <c r="V80" s="25"/>
      <c r="W80" s="26"/>
      <c r="X80" s="92"/>
      <c r="Y80" s="72"/>
      <c r="AD80" s="13"/>
    </row>
    <row r="81" spans="13:30" x14ac:dyDescent="0.25">
      <c r="M81" s="86"/>
      <c r="N81" s="86"/>
      <c r="O81" s="86"/>
      <c r="P81" s="86"/>
      <c r="Q81" s="86"/>
      <c r="R81" s="86"/>
      <c r="T81" s="25"/>
      <c r="U81" s="25"/>
      <c r="V81" s="25"/>
      <c r="W81" s="26"/>
      <c r="X81" s="92"/>
      <c r="Y81" s="72"/>
      <c r="AD81" s="13"/>
    </row>
    <row r="82" spans="13:30" x14ac:dyDescent="0.25">
      <c r="M82" s="86"/>
      <c r="N82" s="86"/>
      <c r="O82" s="86"/>
      <c r="P82" s="86"/>
      <c r="Q82" s="86"/>
      <c r="R82" s="86"/>
      <c r="T82" s="25"/>
      <c r="U82" s="25"/>
      <c r="V82" s="25"/>
      <c r="W82" s="26"/>
      <c r="X82" s="92"/>
      <c r="Y82" s="72"/>
      <c r="AD82" s="13"/>
    </row>
    <row r="83" spans="13:30" x14ac:dyDescent="0.25">
      <c r="M83" s="86"/>
      <c r="N83" s="86"/>
      <c r="O83" s="86"/>
      <c r="P83" s="86"/>
      <c r="Q83" s="86"/>
      <c r="R83" s="86"/>
      <c r="T83" s="25"/>
      <c r="U83" s="25"/>
      <c r="V83" s="25"/>
      <c r="W83" s="26"/>
      <c r="X83" s="92"/>
      <c r="Y83" s="72"/>
      <c r="AD83" s="13"/>
    </row>
    <row r="84" spans="13:30" x14ac:dyDescent="0.25">
      <c r="M84" s="86"/>
      <c r="N84" s="86"/>
      <c r="O84" s="86"/>
      <c r="P84" s="86"/>
      <c r="Q84" s="86"/>
      <c r="R84" s="86"/>
      <c r="T84" s="25"/>
      <c r="U84" s="25"/>
      <c r="V84" s="25"/>
      <c r="W84" s="26"/>
      <c r="X84" s="92"/>
      <c r="Y84" s="72"/>
      <c r="AD84" s="13"/>
    </row>
    <row r="85" spans="13:30" x14ac:dyDescent="0.25">
      <c r="M85" s="86"/>
      <c r="N85" s="86"/>
      <c r="O85" s="86"/>
      <c r="P85" s="86"/>
      <c r="Q85" s="86"/>
      <c r="R85" s="86"/>
      <c r="T85" s="25"/>
      <c r="U85" s="25"/>
      <c r="V85" s="25"/>
      <c r="W85" s="26"/>
      <c r="X85" s="92"/>
      <c r="Y85" s="72"/>
      <c r="AD85" s="13"/>
    </row>
    <row r="86" spans="13:30" x14ac:dyDescent="0.25">
      <c r="M86" s="86"/>
      <c r="N86" s="86"/>
      <c r="O86" s="86"/>
      <c r="P86" s="86"/>
      <c r="Q86" s="86"/>
      <c r="R86" s="86"/>
      <c r="T86" s="25"/>
      <c r="U86" s="25"/>
      <c r="V86" s="25"/>
      <c r="W86" s="26"/>
      <c r="X86" s="92"/>
    </row>
    <row r="87" spans="13:30" x14ac:dyDescent="0.25">
      <c r="M87" s="86"/>
      <c r="N87" s="86"/>
      <c r="O87" s="86"/>
      <c r="P87" s="86"/>
      <c r="Q87" s="86"/>
      <c r="R87" s="86"/>
      <c r="T87" s="25"/>
      <c r="U87" s="25"/>
      <c r="V87" s="25"/>
      <c r="W87" s="26"/>
      <c r="X87" s="92"/>
    </row>
    <row r="88" spans="13:30" x14ac:dyDescent="0.25">
      <c r="M88" s="86"/>
      <c r="N88" s="86"/>
      <c r="O88" s="86"/>
      <c r="P88" s="86"/>
      <c r="Q88" s="86"/>
      <c r="R88" s="86"/>
      <c r="T88" s="25"/>
      <c r="U88" s="25"/>
      <c r="V88" s="25"/>
      <c r="W88" s="26"/>
      <c r="X88" s="92"/>
    </row>
    <row r="89" spans="13:30" x14ac:dyDescent="0.25">
      <c r="M89" s="86"/>
      <c r="N89" s="86"/>
      <c r="O89" s="86"/>
      <c r="P89" s="86"/>
      <c r="Q89" s="86"/>
      <c r="R89" s="86"/>
      <c r="T89" s="25"/>
      <c r="U89" s="25"/>
      <c r="V89" s="25"/>
      <c r="W89" s="26"/>
      <c r="X89" s="92"/>
    </row>
    <row r="90" spans="13:30" x14ac:dyDescent="0.25">
      <c r="M90" s="86"/>
      <c r="N90" s="86"/>
      <c r="O90" s="86"/>
      <c r="P90" s="86"/>
      <c r="Q90" s="86"/>
      <c r="R90" s="86"/>
      <c r="T90" s="25"/>
      <c r="U90" s="25"/>
      <c r="V90" s="25"/>
      <c r="W90" s="26"/>
      <c r="X90" s="92"/>
    </row>
    <row r="91" spans="13:30" x14ac:dyDescent="0.25">
      <c r="M91" s="86"/>
      <c r="N91" s="86"/>
      <c r="O91" s="86"/>
      <c r="P91" s="86"/>
      <c r="Q91" s="86"/>
      <c r="R91" s="86"/>
      <c r="T91" s="25"/>
      <c r="U91" s="25"/>
      <c r="V91" s="25"/>
      <c r="W91" s="9"/>
      <c r="X91" s="92"/>
    </row>
    <row r="92" spans="13:30" x14ac:dyDescent="0.25">
      <c r="M92" s="86"/>
      <c r="N92" s="86"/>
      <c r="O92" s="86"/>
      <c r="P92" s="86"/>
      <c r="Q92" s="86"/>
      <c r="R92" s="86"/>
      <c r="T92" s="25"/>
      <c r="U92" s="25"/>
      <c r="V92" s="25"/>
      <c r="W92" s="9"/>
      <c r="X92" s="92"/>
    </row>
    <row r="93" spans="13:30" x14ac:dyDescent="0.25">
      <c r="M93" s="86"/>
      <c r="N93" s="86"/>
      <c r="O93" s="86"/>
      <c r="P93" s="86"/>
      <c r="Q93" s="86"/>
      <c r="R93" s="86"/>
      <c r="T93" s="25"/>
      <c r="U93" s="25"/>
      <c r="V93" s="25"/>
      <c r="W93" s="9"/>
      <c r="X93" s="92"/>
    </row>
    <row r="94" spans="13:30" x14ac:dyDescent="0.25">
      <c r="M94" s="86"/>
      <c r="N94" s="86"/>
      <c r="O94" s="86"/>
      <c r="P94" s="86"/>
      <c r="Q94" s="86"/>
      <c r="R94" s="86"/>
      <c r="T94" s="25"/>
      <c r="U94" s="25"/>
      <c r="V94" s="25"/>
      <c r="W94" s="9"/>
      <c r="X94" s="92"/>
    </row>
    <row r="95" spans="13:30" x14ac:dyDescent="0.25">
      <c r="M95" s="86"/>
      <c r="N95" s="86"/>
      <c r="O95" s="86"/>
      <c r="P95" s="86"/>
      <c r="Q95" s="86"/>
      <c r="R95" s="86"/>
      <c r="T95" s="25"/>
      <c r="U95" s="25"/>
      <c r="V95" s="25"/>
      <c r="W95" s="9"/>
      <c r="X95" s="92"/>
    </row>
    <row r="96" spans="13:30" x14ac:dyDescent="0.25">
      <c r="M96" s="86"/>
      <c r="N96" s="86"/>
      <c r="O96" s="86"/>
      <c r="P96" s="86"/>
      <c r="Q96" s="86"/>
      <c r="R96" s="86"/>
      <c r="T96" s="25"/>
      <c r="U96" s="25"/>
      <c r="V96" s="25"/>
      <c r="W96" s="9"/>
      <c r="X96" s="92"/>
    </row>
    <row r="97" spans="13:24" x14ac:dyDescent="0.25">
      <c r="M97" s="86"/>
      <c r="N97" s="86"/>
      <c r="O97" s="86"/>
      <c r="P97" s="86"/>
      <c r="Q97" s="86"/>
      <c r="R97" s="86"/>
      <c r="T97" s="25"/>
      <c r="U97" s="25"/>
      <c r="V97" s="25"/>
      <c r="W97" s="9"/>
      <c r="X97" s="92"/>
    </row>
    <row r="98" spans="13:24" x14ac:dyDescent="0.25">
      <c r="M98" s="86"/>
      <c r="N98" s="86"/>
      <c r="O98" s="86"/>
      <c r="P98" s="86"/>
      <c r="Q98" s="86"/>
      <c r="R98" s="86"/>
      <c r="T98" s="25"/>
      <c r="U98" s="25"/>
      <c r="V98" s="25"/>
      <c r="W98" s="9"/>
      <c r="X98" s="92"/>
    </row>
    <row r="99" spans="13:24" x14ac:dyDescent="0.25">
      <c r="M99" s="86"/>
      <c r="N99" s="86"/>
      <c r="O99" s="86"/>
      <c r="P99" s="86"/>
      <c r="Q99" s="86"/>
      <c r="R99" s="86"/>
      <c r="T99" s="25"/>
      <c r="U99" s="25"/>
      <c r="V99" s="25"/>
      <c r="W99" s="9"/>
      <c r="X99" s="92"/>
    </row>
    <row r="100" spans="13:24" x14ac:dyDescent="0.25">
      <c r="M100" s="86"/>
      <c r="N100" s="86"/>
      <c r="O100" s="86"/>
      <c r="P100" s="86"/>
      <c r="Q100" s="86"/>
      <c r="R100" s="86"/>
      <c r="T100" s="25"/>
      <c r="U100" s="25"/>
      <c r="V100" s="25"/>
      <c r="W100" s="9"/>
      <c r="X100" s="92"/>
    </row>
    <row r="101" spans="13:24" x14ac:dyDescent="0.25">
      <c r="M101" s="86"/>
      <c r="N101" s="86"/>
      <c r="O101" s="86"/>
      <c r="P101" s="86"/>
      <c r="Q101" s="86"/>
      <c r="R101" s="86"/>
      <c r="T101" s="25"/>
      <c r="U101" s="25"/>
      <c r="V101" s="25"/>
      <c r="W101" s="9"/>
      <c r="X101" s="92"/>
    </row>
    <row r="102" spans="13:24" x14ac:dyDescent="0.25">
      <c r="M102" s="86"/>
      <c r="N102" s="86"/>
      <c r="O102" s="86"/>
      <c r="P102" s="86"/>
      <c r="Q102" s="86"/>
      <c r="R102" s="86"/>
      <c r="T102" s="25"/>
      <c r="U102" s="25"/>
      <c r="V102" s="25"/>
      <c r="W102" s="9"/>
      <c r="X102" s="92"/>
    </row>
    <row r="103" spans="13:24" x14ac:dyDescent="0.25">
      <c r="M103" s="86"/>
      <c r="N103" s="86"/>
      <c r="O103" s="86"/>
      <c r="P103" s="86"/>
      <c r="Q103" s="86"/>
      <c r="R103" s="86"/>
      <c r="T103" s="25"/>
      <c r="U103" s="25"/>
      <c r="V103" s="25"/>
      <c r="W103" s="9"/>
      <c r="X103" s="92"/>
    </row>
    <row r="104" spans="13:24" x14ac:dyDescent="0.25">
      <c r="M104" s="86"/>
      <c r="N104" s="86"/>
      <c r="O104" s="86"/>
      <c r="P104" s="86"/>
      <c r="Q104" s="86"/>
      <c r="R104" s="86"/>
      <c r="T104" s="25"/>
      <c r="U104" s="25"/>
      <c r="V104" s="25"/>
      <c r="W104" s="9"/>
      <c r="X104" s="92"/>
    </row>
    <row r="105" spans="13:24" x14ac:dyDescent="0.25">
      <c r="M105" s="86"/>
      <c r="N105" s="86"/>
      <c r="O105" s="86"/>
      <c r="P105" s="86"/>
      <c r="Q105" s="86"/>
      <c r="R105" s="86"/>
      <c r="T105" s="25"/>
      <c r="U105" s="25"/>
      <c r="V105" s="25"/>
      <c r="W105" s="9"/>
      <c r="X105" s="92"/>
    </row>
    <row r="106" spans="13:24" x14ac:dyDescent="0.25">
      <c r="M106" s="86"/>
      <c r="N106" s="86"/>
      <c r="O106" s="86"/>
      <c r="P106" s="86"/>
      <c r="Q106" s="86"/>
      <c r="R106" s="86"/>
      <c r="T106" s="25"/>
      <c r="U106" s="25"/>
      <c r="V106" s="25"/>
      <c r="W106" s="9"/>
      <c r="X106" s="92"/>
    </row>
    <row r="107" spans="13:24" x14ac:dyDescent="0.25">
      <c r="M107" s="86"/>
      <c r="N107" s="86"/>
      <c r="O107" s="86"/>
      <c r="P107" s="86"/>
      <c r="Q107" s="86"/>
      <c r="R107" s="86"/>
      <c r="T107" s="25"/>
      <c r="U107" s="25"/>
      <c r="V107" s="25"/>
      <c r="W107" s="9"/>
      <c r="X107" s="92"/>
    </row>
    <row r="108" spans="13:24" x14ac:dyDescent="0.25">
      <c r="M108" s="86"/>
      <c r="N108" s="86"/>
      <c r="O108" s="86"/>
      <c r="P108" s="86"/>
      <c r="Q108" s="86"/>
      <c r="R108" s="86"/>
      <c r="T108" s="25"/>
      <c r="U108" s="25"/>
      <c r="V108" s="25"/>
      <c r="W108" s="9"/>
      <c r="X108" s="92"/>
    </row>
    <row r="109" spans="13:24" x14ac:dyDescent="0.25">
      <c r="M109" s="86"/>
      <c r="N109" s="86"/>
      <c r="O109" s="86"/>
      <c r="P109" s="86"/>
      <c r="Q109" s="86"/>
      <c r="R109" s="86"/>
      <c r="T109" s="25"/>
      <c r="U109" s="25"/>
      <c r="V109" s="25"/>
      <c r="W109" s="9"/>
      <c r="X109" s="92"/>
    </row>
    <row r="110" spans="13:24" x14ac:dyDescent="0.25">
      <c r="M110" s="86"/>
      <c r="N110" s="86"/>
      <c r="O110" s="86"/>
      <c r="P110" s="86"/>
      <c r="Q110" s="86"/>
      <c r="R110" s="86"/>
      <c r="T110" s="25"/>
      <c r="U110" s="25"/>
      <c r="V110" s="25"/>
      <c r="W110" s="9"/>
      <c r="X110" s="92"/>
    </row>
    <row r="111" spans="13:24" x14ac:dyDescent="0.25">
      <c r="M111" s="86"/>
      <c r="N111" s="86"/>
      <c r="O111" s="86"/>
      <c r="P111" s="86"/>
      <c r="Q111" s="86"/>
      <c r="R111" s="86"/>
      <c r="T111" s="25"/>
      <c r="U111" s="25"/>
      <c r="V111" s="25"/>
      <c r="W111" s="9"/>
      <c r="X111" s="92"/>
    </row>
    <row r="112" spans="13:24" x14ac:dyDescent="0.25">
      <c r="M112" s="86"/>
      <c r="N112" s="86"/>
      <c r="O112" s="86"/>
      <c r="P112" s="86"/>
      <c r="Q112" s="86"/>
      <c r="R112" s="86"/>
      <c r="T112" s="25"/>
      <c r="U112" s="25"/>
      <c r="V112" s="25"/>
      <c r="W112" s="9"/>
      <c r="X112" s="92"/>
    </row>
    <row r="113" spans="13:24" x14ac:dyDescent="0.25">
      <c r="M113" s="86"/>
      <c r="N113" s="86"/>
      <c r="O113" s="86"/>
      <c r="P113" s="86"/>
      <c r="Q113" s="86"/>
      <c r="R113" s="86"/>
      <c r="T113" s="25"/>
      <c r="U113" s="25"/>
      <c r="V113" s="25"/>
      <c r="W113" s="9"/>
      <c r="X113" s="92"/>
    </row>
    <row r="114" spans="13:24" x14ac:dyDescent="0.25">
      <c r="M114" s="86"/>
      <c r="N114" s="86"/>
      <c r="O114" s="86"/>
      <c r="P114" s="86"/>
      <c r="Q114" s="86"/>
      <c r="R114" s="86"/>
      <c r="T114" s="25"/>
      <c r="U114" s="25"/>
      <c r="V114" s="25"/>
      <c r="W114" s="9"/>
      <c r="X114" s="92"/>
    </row>
    <row r="115" spans="13:24" x14ac:dyDescent="0.25">
      <c r="M115" s="86"/>
      <c r="N115" s="86"/>
      <c r="O115" s="86"/>
      <c r="P115" s="86"/>
      <c r="Q115" s="86"/>
      <c r="R115" s="86"/>
      <c r="T115" s="25"/>
      <c r="U115" s="25"/>
      <c r="V115" s="25"/>
      <c r="W115" s="9"/>
      <c r="X115" s="92"/>
    </row>
    <row r="116" spans="13:24" x14ac:dyDescent="0.25">
      <c r="M116" s="86"/>
      <c r="N116" s="86"/>
      <c r="O116" s="86"/>
      <c r="P116" s="86"/>
      <c r="Q116" s="86"/>
      <c r="R116" s="86"/>
      <c r="T116" s="25"/>
      <c r="U116" s="25"/>
      <c r="V116" s="25"/>
      <c r="W116" s="9"/>
      <c r="X116" s="92"/>
    </row>
    <row r="117" spans="13:24" x14ac:dyDescent="0.25">
      <c r="M117" s="86"/>
      <c r="N117" s="86"/>
      <c r="O117" s="86"/>
      <c r="P117" s="86"/>
      <c r="Q117" s="86"/>
      <c r="R117" s="86"/>
      <c r="T117" s="25"/>
      <c r="U117" s="25"/>
      <c r="V117" s="25"/>
      <c r="W117" s="9"/>
      <c r="X117" s="92"/>
    </row>
    <row r="118" spans="13:24" x14ac:dyDescent="0.25">
      <c r="M118" s="86"/>
      <c r="N118" s="86"/>
      <c r="O118" s="86"/>
      <c r="P118" s="86"/>
      <c r="Q118" s="86"/>
      <c r="R118" s="86"/>
      <c r="T118" s="25"/>
      <c r="U118" s="25"/>
      <c r="V118" s="25"/>
      <c r="W118" s="9"/>
      <c r="X118" s="92"/>
    </row>
    <row r="119" spans="13:24" x14ac:dyDescent="0.25">
      <c r="M119" s="86"/>
      <c r="N119" s="86"/>
      <c r="O119" s="86"/>
      <c r="P119" s="86"/>
      <c r="Q119" s="86"/>
      <c r="R119" s="86"/>
      <c r="T119" s="25"/>
      <c r="U119" s="25"/>
      <c r="V119" s="25"/>
      <c r="W119" s="9"/>
      <c r="X119" s="92"/>
    </row>
    <row r="120" spans="13:24" x14ac:dyDescent="0.25">
      <c r="M120" s="86"/>
      <c r="N120" s="86"/>
      <c r="O120" s="86"/>
      <c r="P120" s="86"/>
      <c r="Q120" s="86"/>
      <c r="R120" s="86"/>
      <c r="W120" s="9"/>
      <c r="X120" s="92"/>
    </row>
    <row r="121" spans="13:24" x14ac:dyDescent="0.25">
      <c r="M121" s="86"/>
      <c r="N121" s="86"/>
      <c r="O121" s="86"/>
      <c r="P121" s="86"/>
      <c r="Q121" s="86"/>
      <c r="R121" s="86"/>
      <c r="W121" s="9"/>
      <c r="X121" s="92"/>
    </row>
    <row r="122" spans="13:24" x14ac:dyDescent="0.25">
      <c r="M122" s="86"/>
      <c r="N122" s="86"/>
      <c r="O122" s="86"/>
      <c r="P122" s="86"/>
      <c r="Q122" s="86"/>
      <c r="R122" s="86"/>
      <c r="W122" s="9"/>
      <c r="X122" s="92"/>
    </row>
    <row r="123" spans="13:24" x14ac:dyDescent="0.25">
      <c r="M123" s="86"/>
      <c r="N123" s="86"/>
      <c r="O123" s="86"/>
      <c r="P123" s="86"/>
      <c r="Q123" s="86"/>
      <c r="R123" s="86"/>
      <c r="W123" s="9"/>
      <c r="X123" s="92"/>
    </row>
    <row r="124" spans="13:24" x14ac:dyDescent="0.25">
      <c r="M124" s="86"/>
      <c r="N124" s="86"/>
      <c r="O124" s="86"/>
      <c r="P124" s="86"/>
      <c r="Q124" s="86"/>
      <c r="R124" s="86"/>
      <c r="W124" s="9"/>
      <c r="X124" s="92"/>
    </row>
    <row r="125" spans="13:24" x14ac:dyDescent="0.25">
      <c r="M125" s="86"/>
      <c r="N125" s="86"/>
      <c r="O125" s="86"/>
      <c r="P125" s="86"/>
      <c r="Q125" s="86"/>
      <c r="R125" s="86"/>
      <c r="W125" s="9"/>
      <c r="X125" s="92"/>
    </row>
    <row r="126" spans="13:24" x14ac:dyDescent="0.25">
      <c r="M126" s="86"/>
      <c r="N126" s="86"/>
      <c r="O126" s="86"/>
      <c r="P126" s="86"/>
      <c r="Q126" s="86"/>
      <c r="R126" s="86"/>
      <c r="W126" s="9"/>
      <c r="X126" s="92"/>
    </row>
    <row r="127" spans="13:24" x14ac:dyDescent="0.25">
      <c r="M127" s="86"/>
      <c r="N127" s="86"/>
      <c r="O127" s="86"/>
      <c r="P127" s="86"/>
      <c r="Q127" s="86"/>
      <c r="R127" s="86"/>
      <c r="W127" s="9"/>
      <c r="X127" s="92"/>
    </row>
    <row r="128" spans="13:24" x14ac:dyDescent="0.25">
      <c r="M128" s="86"/>
      <c r="N128" s="86"/>
      <c r="O128" s="86"/>
      <c r="P128" s="86"/>
      <c r="Q128" s="86"/>
      <c r="R128" s="86"/>
      <c r="W128" s="9"/>
      <c r="X128" s="92"/>
    </row>
    <row r="129" spans="13:24" x14ac:dyDescent="0.25">
      <c r="M129" s="86"/>
      <c r="N129" s="86"/>
      <c r="O129" s="86"/>
      <c r="P129" s="86"/>
      <c r="Q129" s="86"/>
      <c r="R129" s="86"/>
      <c r="W129" s="9"/>
      <c r="X129" s="92"/>
    </row>
    <row r="130" spans="13:24" x14ac:dyDescent="0.25">
      <c r="M130" s="86"/>
      <c r="N130" s="86"/>
      <c r="O130" s="86"/>
      <c r="P130" s="86"/>
      <c r="Q130" s="86"/>
      <c r="R130" s="86"/>
      <c r="W130" s="9"/>
      <c r="X130" s="92"/>
    </row>
    <row r="131" spans="13:24" x14ac:dyDescent="0.25">
      <c r="M131" s="86"/>
      <c r="N131" s="86"/>
      <c r="O131" s="86"/>
      <c r="P131" s="86"/>
      <c r="Q131" s="86"/>
      <c r="R131" s="86"/>
      <c r="W131" s="9"/>
      <c r="X131" s="92"/>
    </row>
    <row r="132" spans="13:24" x14ac:dyDescent="0.25">
      <c r="M132" s="86"/>
      <c r="N132" s="86"/>
      <c r="O132" s="86"/>
      <c r="P132" s="86"/>
      <c r="Q132" s="86"/>
      <c r="R132" s="86"/>
      <c r="W132" s="9"/>
      <c r="X132" s="92"/>
    </row>
    <row r="133" spans="13:24" x14ac:dyDescent="0.25">
      <c r="M133" s="86"/>
      <c r="N133" s="86"/>
      <c r="O133" s="86"/>
      <c r="P133" s="86"/>
      <c r="Q133" s="86"/>
      <c r="R133" s="86"/>
      <c r="W133" s="9"/>
      <c r="X133" s="92"/>
    </row>
    <row r="134" spans="13:24" x14ac:dyDescent="0.25">
      <c r="M134" s="86"/>
      <c r="N134" s="86"/>
      <c r="O134" s="86"/>
      <c r="P134" s="86"/>
      <c r="Q134" s="86"/>
      <c r="R134" s="86"/>
      <c r="W134" s="9"/>
      <c r="X134" s="92"/>
    </row>
    <row r="135" spans="13:24" x14ac:dyDescent="0.25">
      <c r="M135" s="86"/>
      <c r="N135" s="86"/>
      <c r="O135" s="86"/>
      <c r="P135" s="86"/>
      <c r="Q135" s="86"/>
      <c r="R135" s="86"/>
      <c r="W135" s="9"/>
      <c r="X135" s="92"/>
    </row>
    <row r="136" spans="13:24" x14ac:dyDescent="0.25">
      <c r="M136" s="86"/>
      <c r="N136" s="86"/>
      <c r="O136" s="86"/>
      <c r="P136" s="86"/>
      <c r="Q136" s="86"/>
      <c r="R136" s="86"/>
      <c r="W136" s="9"/>
      <c r="X136" s="92"/>
    </row>
    <row r="137" spans="13:24" x14ac:dyDescent="0.25">
      <c r="M137" s="86"/>
      <c r="N137" s="86"/>
      <c r="O137" s="86"/>
      <c r="P137" s="86"/>
      <c r="Q137" s="86"/>
      <c r="R137" s="86"/>
      <c r="W137" s="9"/>
      <c r="X137" s="92"/>
    </row>
    <row r="138" spans="13:24" x14ac:dyDescent="0.25">
      <c r="M138" s="86"/>
      <c r="N138" s="86"/>
      <c r="O138" s="86"/>
      <c r="P138" s="86"/>
      <c r="Q138" s="86"/>
      <c r="R138" s="86"/>
      <c r="W138" s="9"/>
      <c r="X138" s="92"/>
    </row>
    <row r="139" spans="13:24" x14ac:dyDescent="0.25">
      <c r="M139" s="86"/>
      <c r="N139" s="86"/>
      <c r="O139" s="86"/>
      <c r="P139" s="86"/>
      <c r="Q139" s="86"/>
      <c r="R139" s="86"/>
      <c r="W139" s="9"/>
      <c r="X139" s="92"/>
    </row>
    <row r="140" spans="13:24" x14ac:dyDescent="0.25">
      <c r="M140" s="86"/>
      <c r="N140" s="86"/>
      <c r="O140" s="86"/>
      <c r="P140" s="86"/>
      <c r="Q140" s="86"/>
      <c r="R140" s="86"/>
      <c r="W140" s="9"/>
      <c r="X140" s="92"/>
    </row>
    <row r="141" spans="13:24" x14ac:dyDescent="0.25">
      <c r="M141" s="86"/>
      <c r="N141" s="86"/>
      <c r="O141" s="86"/>
      <c r="P141" s="86"/>
      <c r="Q141" s="86"/>
      <c r="R141" s="86"/>
      <c r="W141" s="9"/>
      <c r="X141" s="92"/>
    </row>
    <row r="142" spans="13:24" x14ac:dyDescent="0.25">
      <c r="M142" s="86"/>
      <c r="N142" s="86"/>
      <c r="O142" s="86"/>
      <c r="P142" s="86"/>
      <c r="Q142" s="86"/>
      <c r="R142" s="86"/>
      <c r="W142" s="9"/>
      <c r="X142" s="92"/>
    </row>
    <row r="143" spans="13:24" x14ac:dyDescent="0.25">
      <c r="M143" s="86"/>
      <c r="N143" s="86"/>
      <c r="O143" s="86"/>
      <c r="P143" s="86"/>
      <c r="Q143" s="86"/>
      <c r="R143" s="86"/>
      <c r="W143" s="9"/>
      <c r="X143" s="92"/>
    </row>
    <row r="144" spans="13:24" x14ac:dyDescent="0.25">
      <c r="M144" s="86"/>
      <c r="N144" s="86"/>
      <c r="O144" s="86"/>
      <c r="P144" s="86"/>
      <c r="Q144" s="86"/>
      <c r="R144" s="86"/>
      <c r="W144" s="9"/>
      <c r="X144" s="92"/>
    </row>
    <row r="145" spans="13:24" x14ac:dyDescent="0.25">
      <c r="M145" s="86"/>
      <c r="N145" s="86"/>
      <c r="O145" s="86"/>
      <c r="P145" s="86"/>
      <c r="Q145" s="86"/>
      <c r="R145" s="86"/>
      <c r="W145" s="9"/>
      <c r="X145" s="92"/>
    </row>
    <row r="146" spans="13:24" x14ac:dyDescent="0.25">
      <c r="M146" s="86"/>
      <c r="N146" s="86"/>
      <c r="O146" s="86"/>
      <c r="P146" s="86"/>
      <c r="Q146" s="86"/>
      <c r="R146" s="86"/>
      <c r="W146" s="9"/>
      <c r="X146" s="92"/>
    </row>
    <row r="147" spans="13:24" x14ac:dyDescent="0.25">
      <c r="M147" s="86"/>
      <c r="N147" s="86"/>
      <c r="O147" s="86"/>
      <c r="P147" s="86"/>
      <c r="Q147" s="86"/>
      <c r="R147" s="86"/>
      <c r="W147" s="9"/>
      <c r="X147" s="92"/>
    </row>
    <row r="148" spans="13:24" x14ac:dyDescent="0.25">
      <c r="M148" s="86"/>
      <c r="N148" s="86"/>
      <c r="O148" s="86"/>
      <c r="P148" s="86"/>
      <c r="Q148" s="86"/>
      <c r="R148" s="86"/>
      <c r="W148" s="9"/>
      <c r="X148" s="92"/>
    </row>
    <row r="149" spans="13:24" x14ac:dyDescent="0.25">
      <c r="M149" s="86"/>
      <c r="N149" s="86"/>
      <c r="O149" s="86"/>
      <c r="P149" s="86"/>
      <c r="Q149" s="86"/>
      <c r="R149" s="86"/>
      <c r="W149" s="9"/>
      <c r="X149" s="92"/>
    </row>
    <row r="150" spans="13:24" x14ac:dyDescent="0.25">
      <c r="M150" s="86"/>
      <c r="N150" s="86"/>
      <c r="O150" s="86"/>
      <c r="P150" s="86"/>
      <c r="Q150" s="86"/>
      <c r="R150" s="86"/>
      <c r="W150" s="9"/>
      <c r="X150" s="92"/>
    </row>
    <row r="151" spans="13:24" x14ac:dyDescent="0.25">
      <c r="M151" s="86"/>
      <c r="N151" s="86"/>
      <c r="O151" s="86"/>
      <c r="P151" s="86"/>
      <c r="Q151" s="86"/>
      <c r="R151" s="86"/>
      <c r="W151" s="9"/>
      <c r="X151" s="92"/>
    </row>
    <row r="152" spans="13:24" x14ac:dyDescent="0.25">
      <c r="M152" s="86"/>
      <c r="N152" s="86"/>
      <c r="O152" s="86"/>
      <c r="P152" s="86"/>
      <c r="Q152" s="86"/>
      <c r="R152" s="86"/>
      <c r="W152" s="9"/>
      <c r="X152" s="92"/>
    </row>
    <row r="153" spans="13:24" x14ac:dyDescent="0.25">
      <c r="M153" s="86"/>
      <c r="N153" s="86"/>
      <c r="O153" s="86"/>
      <c r="P153" s="86"/>
      <c r="Q153" s="86"/>
      <c r="R153" s="86"/>
      <c r="W153" s="9"/>
      <c r="X153" s="92"/>
    </row>
    <row r="154" spans="13:24" x14ac:dyDescent="0.25">
      <c r="M154" s="86"/>
      <c r="N154" s="86"/>
      <c r="O154" s="86"/>
      <c r="P154" s="86"/>
      <c r="Q154" s="86"/>
      <c r="R154" s="86"/>
      <c r="W154" s="9"/>
      <c r="X154" s="92"/>
    </row>
    <row r="155" spans="13:24" x14ac:dyDescent="0.25">
      <c r="M155" s="86"/>
      <c r="N155" s="86"/>
      <c r="O155" s="86"/>
      <c r="P155" s="86"/>
      <c r="Q155" s="86"/>
      <c r="R155" s="86"/>
      <c r="W155" s="9"/>
      <c r="X155" s="92"/>
    </row>
    <row r="156" spans="13:24" x14ac:dyDescent="0.25">
      <c r="M156" s="86"/>
      <c r="N156" s="86"/>
      <c r="O156" s="86"/>
      <c r="P156" s="86"/>
      <c r="Q156" s="86"/>
      <c r="R156" s="86"/>
      <c r="W156" s="9"/>
      <c r="X156" s="92"/>
    </row>
    <row r="157" spans="13:24" x14ac:dyDescent="0.25">
      <c r="M157" s="86"/>
      <c r="N157" s="86"/>
      <c r="O157" s="86"/>
      <c r="P157" s="86"/>
      <c r="Q157" s="86"/>
      <c r="R157" s="86"/>
      <c r="W157" s="9"/>
      <c r="X157" s="92"/>
    </row>
    <row r="158" spans="13:24" x14ac:dyDescent="0.25">
      <c r="M158" s="86"/>
      <c r="N158" s="86"/>
      <c r="O158" s="86"/>
      <c r="P158" s="86"/>
      <c r="Q158" s="86"/>
      <c r="R158" s="86"/>
      <c r="W158" s="9"/>
      <c r="X158" s="92"/>
    </row>
    <row r="159" spans="13:24" x14ac:dyDescent="0.25">
      <c r="M159" s="86"/>
      <c r="N159" s="86"/>
      <c r="O159" s="86"/>
      <c r="P159" s="86"/>
      <c r="Q159" s="86"/>
      <c r="R159" s="86"/>
      <c r="W159" s="9"/>
      <c r="X159" s="92"/>
    </row>
    <row r="160" spans="13:24" x14ac:dyDescent="0.25">
      <c r="M160" s="86"/>
      <c r="N160" s="86"/>
      <c r="O160" s="86"/>
      <c r="P160" s="86"/>
      <c r="Q160" s="86"/>
      <c r="R160" s="86"/>
      <c r="W160" s="9"/>
      <c r="X160" s="92"/>
    </row>
    <row r="161" spans="13:24" x14ac:dyDescent="0.25">
      <c r="M161" s="86"/>
      <c r="N161" s="86"/>
      <c r="O161" s="86"/>
      <c r="P161" s="86"/>
      <c r="Q161" s="86"/>
      <c r="R161" s="86"/>
      <c r="W161" s="9"/>
      <c r="X161" s="92"/>
    </row>
    <row r="162" spans="13:24" x14ac:dyDescent="0.25">
      <c r="M162" s="86"/>
      <c r="N162" s="86"/>
      <c r="O162" s="86"/>
      <c r="P162" s="86"/>
      <c r="Q162" s="86"/>
      <c r="R162" s="86"/>
      <c r="W162" s="9"/>
      <c r="X162" s="92"/>
    </row>
    <row r="163" spans="13:24" x14ac:dyDescent="0.25">
      <c r="M163" s="86"/>
      <c r="N163" s="86"/>
      <c r="O163" s="86"/>
      <c r="P163" s="86"/>
      <c r="Q163" s="86"/>
      <c r="R163" s="86"/>
      <c r="W163" s="9"/>
      <c r="X163" s="92"/>
    </row>
    <row r="164" spans="13:24" x14ac:dyDescent="0.25">
      <c r="M164" s="86"/>
      <c r="N164" s="86"/>
      <c r="O164" s="86"/>
      <c r="P164" s="86"/>
      <c r="Q164" s="86"/>
      <c r="R164" s="86"/>
      <c r="W164" s="9"/>
      <c r="X164" s="92"/>
    </row>
    <row r="165" spans="13:24" x14ac:dyDescent="0.25">
      <c r="M165" s="86"/>
      <c r="N165" s="86"/>
      <c r="O165" s="86"/>
      <c r="P165" s="86"/>
      <c r="Q165" s="86"/>
      <c r="R165" s="86"/>
      <c r="W165" s="9"/>
      <c r="X165" s="92"/>
    </row>
    <row r="166" spans="13:24" x14ac:dyDescent="0.25">
      <c r="M166" s="86"/>
      <c r="N166" s="86"/>
      <c r="O166" s="86"/>
      <c r="P166" s="86"/>
      <c r="Q166" s="86"/>
      <c r="R166" s="86"/>
      <c r="W166" s="9"/>
      <c r="X166" s="92"/>
    </row>
    <row r="167" spans="13:24" x14ac:dyDescent="0.25">
      <c r="M167" s="86"/>
      <c r="N167" s="86"/>
      <c r="O167" s="86"/>
      <c r="P167" s="86"/>
      <c r="Q167" s="86"/>
      <c r="R167" s="86"/>
      <c r="W167" s="9"/>
      <c r="X167" s="92"/>
    </row>
    <row r="168" spans="13:24" x14ac:dyDescent="0.25">
      <c r="M168" s="86"/>
      <c r="N168" s="86"/>
      <c r="O168" s="86"/>
      <c r="P168" s="86"/>
      <c r="Q168" s="86"/>
      <c r="R168" s="86"/>
      <c r="W168" s="9"/>
      <c r="X168" s="92"/>
    </row>
    <row r="169" spans="13:24" x14ac:dyDescent="0.25">
      <c r="M169" s="86"/>
      <c r="N169" s="86"/>
      <c r="O169" s="86"/>
      <c r="P169" s="86"/>
      <c r="Q169" s="86"/>
      <c r="R169" s="86"/>
      <c r="W169" s="9"/>
      <c r="X169" s="92"/>
    </row>
    <row r="170" spans="13:24" x14ac:dyDescent="0.25">
      <c r="M170" s="86"/>
      <c r="N170" s="86"/>
      <c r="O170" s="86"/>
      <c r="P170" s="86"/>
      <c r="Q170" s="86"/>
      <c r="R170" s="86"/>
      <c r="W170" s="9"/>
      <c r="X170" s="92"/>
    </row>
    <row r="171" spans="13:24" x14ac:dyDescent="0.25">
      <c r="M171" s="86"/>
      <c r="N171" s="86"/>
      <c r="O171" s="86"/>
      <c r="P171" s="86"/>
      <c r="Q171" s="86"/>
      <c r="R171" s="86"/>
      <c r="W171" s="9"/>
      <c r="X171" s="92"/>
    </row>
    <row r="172" spans="13:24" x14ac:dyDescent="0.25">
      <c r="M172" s="86"/>
      <c r="N172" s="86"/>
      <c r="O172" s="86"/>
      <c r="P172" s="86"/>
      <c r="Q172" s="86"/>
      <c r="R172" s="86"/>
      <c r="W172" s="9"/>
      <c r="X172" s="92"/>
    </row>
    <row r="173" spans="13:24" x14ac:dyDescent="0.25">
      <c r="M173" s="86"/>
      <c r="N173" s="86"/>
      <c r="O173" s="86"/>
      <c r="P173" s="86"/>
      <c r="Q173" s="86"/>
      <c r="R173" s="86"/>
      <c r="W173" s="9"/>
      <c r="X173" s="92"/>
    </row>
    <row r="174" spans="13:24" x14ac:dyDescent="0.25">
      <c r="M174" s="86"/>
      <c r="N174" s="86"/>
      <c r="O174" s="86"/>
      <c r="P174" s="86"/>
      <c r="Q174" s="86"/>
      <c r="R174" s="86"/>
      <c r="W174" s="9"/>
      <c r="X174" s="92"/>
    </row>
    <row r="175" spans="13:24" x14ac:dyDescent="0.25">
      <c r="M175" s="86"/>
      <c r="N175" s="86"/>
      <c r="O175" s="86"/>
      <c r="P175" s="86"/>
      <c r="Q175" s="86"/>
      <c r="R175" s="86"/>
      <c r="W175" s="9"/>
      <c r="X175" s="92"/>
    </row>
    <row r="176" spans="13:24" x14ac:dyDescent="0.25">
      <c r="M176" s="86"/>
      <c r="N176" s="86"/>
      <c r="O176" s="86"/>
      <c r="P176" s="86"/>
      <c r="Q176" s="86"/>
      <c r="R176" s="86"/>
      <c r="W176" s="9"/>
      <c r="X176" s="92"/>
    </row>
    <row r="177" spans="13:24" x14ac:dyDescent="0.25">
      <c r="M177" s="86"/>
      <c r="N177" s="86"/>
      <c r="O177" s="86"/>
      <c r="P177" s="86"/>
      <c r="Q177" s="86"/>
      <c r="R177" s="86"/>
      <c r="W177" s="9"/>
      <c r="X177" s="92"/>
    </row>
    <row r="178" spans="13:24" x14ac:dyDescent="0.25">
      <c r="M178" s="86"/>
      <c r="N178" s="86"/>
      <c r="O178" s="86"/>
      <c r="P178" s="86"/>
      <c r="Q178" s="86"/>
      <c r="R178" s="86"/>
      <c r="W178" s="9"/>
      <c r="X178" s="92"/>
    </row>
    <row r="179" spans="13:24" x14ac:dyDescent="0.25">
      <c r="M179" s="86"/>
      <c r="N179" s="86"/>
      <c r="O179" s="86"/>
      <c r="P179" s="86"/>
      <c r="Q179" s="86"/>
      <c r="R179" s="86"/>
      <c r="W179" s="9"/>
      <c r="X179" s="92"/>
    </row>
    <row r="180" spans="13:24" x14ac:dyDescent="0.25">
      <c r="M180" s="86"/>
      <c r="N180" s="86"/>
      <c r="O180" s="86"/>
      <c r="P180" s="86"/>
      <c r="Q180" s="86"/>
      <c r="R180" s="86"/>
      <c r="W180" s="9"/>
      <c r="X180" s="92"/>
    </row>
    <row r="181" spans="13:24" x14ac:dyDescent="0.25">
      <c r="M181" s="86"/>
      <c r="N181" s="86"/>
      <c r="O181" s="86"/>
      <c r="P181" s="86"/>
      <c r="Q181" s="86"/>
      <c r="R181" s="86"/>
      <c r="W181" s="9"/>
      <c r="X181" s="92"/>
    </row>
    <row r="182" spans="13:24" x14ac:dyDescent="0.25">
      <c r="M182" s="86"/>
      <c r="N182" s="86"/>
      <c r="O182" s="86"/>
      <c r="P182" s="86"/>
      <c r="Q182" s="86"/>
      <c r="R182" s="86"/>
      <c r="W182" s="9"/>
      <c r="X182" s="92"/>
    </row>
    <row r="183" spans="13:24" x14ac:dyDescent="0.25">
      <c r="M183" s="86"/>
      <c r="N183" s="86"/>
      <c r="O183" s="86"/>
      <c r="P183" s="86"/>
      <c r="Q183" s="86"/>
      <c r="R183" s="86"/>
      <c r="W183" s="9"/>
      <c r="X183" s="92"/>
    </row>
    <row r="184" spans="13:24" x14ac:dyDescent="0.25">
      <c r="M184" s="86"/>
      <c r="N184" s="86"/>
      <c r="O184" s="86"/>
      <c r="P184" s="86"/>
      <c r="Q184" s="86"/>
      <c r="R184" s="86"/>
      <c r="W184" s="9"/>
      <c r="X184" s="92"/>
    </row>
    <row r="185" spans="13:24" x14ac:dyDescent="0.25">
      <c r="M185" s="86"/>
      <c r="N185" s="86"/>
      <c r="O185" s="86"/>
      <c r="P185" s="86"/>
      <c r="Q185" s="86"/>
      <c r="R185" s="86"/>
      <c r="W185" s="9"/>
      <c r="X185" s="92"/>
    </row>
    <row r="186" spans="13:24" x14ac:dyDescent="0.25">
      <c r="M186" s="86"/>
      <c r="N186" s="86"/>
      <c r="O186" s="86"/>
      <c r="P186" s="86"/>
      <c r="Q186" s="86"/>
      <c r="R186" s="86"/>
      <c r="W186" s="9"/>
      <c r="X186" s="92"/>
    </row>
    <row r="187" spans="13:24" x14ac:dyDescent="0.25">
      <c r="M187" s="86"/>
      <c r="N187" s="86"/>
      <c r="O187" s="86"/>
      <c r="P187" s="86"/>
      <c r="Q187" s="86"/>
      <c r="R187" s="86"/>
      <c r="W187" s="9"/>
      <c r="X187" s="92"/>
    </row>
    <row r="188" spans="13:24" x14ac:dyDescent="0.25">
      <c r="M188" s="86"/>
      <c r="N188" s="86"/>
      <c r="O188" s="86"/>
      <c r="P188" s="86"/>
      <c r="Q188" s="86"/>
      <c r="R188" s="86"/>
      <c r="W188" s="9"/>
      <c r="X188" s="92"/>
    </row>
    <row r="189" spans="13:24" x14ac:dyDescent="0.25">
      <c r="M189" s="86"/>
      <c r="N189" s="86"/>
      <c r="O189" s="86"/>
      <c r="P189" s="86"/>
      <c r="Q189" s="86"/>
      <c r="R189" s="86"/>
      <c r="W189" s="9"/>
      <c r="X189" s="92"/>
    </row>
    <row r="190" spans="13:24" x14ac:dyDescent="0.25">
      <c r="M190" s="86"/>
      <c r="N190" s="86"/>
      <c r="O190" s="86"/>
      <c r="P190" s="86"/>
      <c r="Q190" s="86"/>
      <c r="R190" s="86"/>
      <c r="W190" s="9"/>
      <c r="X190" s="92"/>
    </row>
    <row r="191" spans="13:24" x14ac:dyDescent="0.25">
      <c r="M191" s="86"/>
      <c r="N191" s="86"/>
      <c r="O191" s="86"/>
      <c r="P191" s="86"/>
      <c r="Q191" s="86"/>
      <c r="R191" s="86"/>
      <c r="W191" s="9"/>
      <c r="X191" s="92"/>
    </row>
    <row r="192" spans="13:24" x14ac:dyDescent="0.25">
      <c r="M192" s="86"/>
      <c r="N192" s="86"/>
      <c r="O192" s="86"/>
      <c r="P192" s="86"/>
      <c r="Q192" s="86"/>
      <c r="R192" s="86"/>
      <c r="W192" s="9"/>
      <c r="X192" s="92"/>
    </row>
    <row r="193" spans="13:24" x14ac:dyDescent="0.25">
      <c r="M193" s="86"/>
      <c r="N193" s="86"/>
      <c r="O193" s="86"/>
      <c r="P193" s="86"/>
      <c r="Q193" s="86"/>
      <c r="R193" s="86"/>
      <c r="W193" s="9"/>
      <c r="X193" s="92"/>
    </row>
    <row r="194" spans="13:24" x14ac:dyDescent="0.25">
      <c r="M194" s="86"/>
      <c r="N194" s="86"/>
      <c r="O194" s="86"/>
      <c r="P194" s="86"/>
      <c r="Q194" s="86"/>
      <c r="R194" s="86"/>
      <c r="W194" s="9"/>
      <c r="X194" s="92"/>
    </row>
    <row r="195" spans="13:24" x14ac:dyDescent="0.25">
      <c r="M195" s="86"/>
      <c r="N195" s="86"/>
      <c r="O195" s="86"/>
      <c r="P195" s="86"/>
      <c r="Q195" s="86"/>
      <c r="R195" s="86"/>
      <c r="W195" s="9"/>
      <c r="X195" s="92"/>
    </row>
    <row r="196" spans="13:24" x14ac:dyDescent="0.25">
      <c r="M196" s="86"/>
      <c r="N196" s="86"/>
      <c r="O196" s="86"/>
      <c r="P196" s="86"/>
      <c r="Q196" s="86"/>
      <c r="R196" s="86"/>
      <c r="W196" s="9"/>
      <c r="X196" s="92"/>
    </row>
    <row r="197" spans="13:24" x14ac:dyDescent="0.25">
      <c r="M197" s="86"/>
      <c r="N197" s="86"/>
      <c r="O197" s="86"/>
      <c r="P197" s="86"/>
      <c r="Q197" s="86"/>
      <c r="R197" s="86"/>
      <c r="W197" s="9"/>
      <c r="X197" s="92"/>
    </row>
    <row r="198" spans="13:24" x14ac:dyDescent="0.25">
      <c r="M198" s="86"/>
      <c r="N198" s="86"/>
      <c r="O198" s="86"/>
      <c r="P198" s="86"/>
      <c r="Q198" s="86"/>
      <c r="R198" s="86"/>
      <c r="W198" s="9"/>
      <c r="X198" s="92"/>
    </row>
    <row r="199" spans="13:24" x14ac:dyDescent="0.25">
      <c r="M199" s="86"/>
      <c r="N199" s="86"/>
      <c r="O199" s="86"/>
      <c r="P199" s="86"/>
      <c r="Q199" s="86"/>
      <c r="R199" s="86"/>
      <c r="W199" s="9"/>
      <c r="X199" s="92"/>
    </row>
    <row r="200" spans="13:24" x14ac:dyDescent="0.25">
      <c r="M200" s="86"/>
      <c r="N200" s="86"/>
      <c r="O200" s="86"/>
      <c r="P200" s="86"/>
      <c r="Q200" s="86"/>
      <c r="R200" s="86"/>
      <c r="W200" s="9"/>
      <c r="X200" s="92"/>
    </row>
    <row r="201" spans="13:24" x14ac:dyDescent="0.25">
      <c r="M201" s="86"/>
      <c r="N201" s="86"/>
      <c r="O201" s="86"/>
      <c r="P201" s="86"/>
      <c r="Q201" s="86"/>
      <c r="R201" s="86"/>
      <c r="W201" s="9"/>
      <c r="X201" s="92"/>
    </row>
    <row r="202" spans="13:24" x14ac:dyDescent="0.25">
      <c r="M202" s="86"/>
      <c r="N202" s="86"/>
      <c r="O202" s="86"/>
      <c r="P202" s="86"/>
      <c r="Q202" s="86"/>
      <c r="R202" s="86"/>
      <c r="W202" s="9"/>
      <c r="X202" s="92"/>
    </row>
    <row r="203" spans="13:24" x14ac:dyDescent="0.25">
      <c r="M203" s="86"/>
      <c r="N203" s="86"/>
      <c r="O203" s="86"/>
      <c r="P203" s="86"/>
      <c r="Q203" s="86"/>
      <c r="R203" s="86"/>
      <c r="W203" s="9"/>
      <c r="X203" s="92"/>
    </row>
    <row r="204" spans="13:24" x14ac:dyDescent="0.25">
      <c r="M204" s="86"/>
      <c r="N204" s="86"/>
      <c r="O204" s="86"/>
      <c r="P204" s="86"/>
      <c r="Q204" s="86"/>
      <c r="R204" s="86"/>
      <c r="W204" s="9"/>
      <c r="X204" s="92"/>
    </row>
    <row r="205" spans="13:24" x14ac:dyDescent="0.25">
      <c r="M205" s="86"/>
      <c r="N205" s="86"/>
      <c r="O205" s="86"/>
      <c r="P205" s="86"/>
      <c r="Q205" s="86"/>
      <c r="R205" s="86"/>
      <c r="U205" s="9"/>
      <c r="V205" s="9"/>
      <c r="W205" s="9"/>
      <c r="X205" s="92"/>
    </row>
    <row r="206" spans="13:24" x14ac:dyDescent="0.25">
      <c r="M206" s="86"/>
      <c r="N206" s="86"/>
      <c r="O206" s="86"/>
      <c r="P206" s="86"/>
      <c r="Q206" s="86"/>
      <c r="R206" s="86"/>
      <c r="U206" s="9"/>
      <c r="V206" s="9"/>
      <c r="W206" s="9"/>
      <c r="X206" s="92"/>
    </row>
    <row r="207" spans="13:24" x14ac:dyDescent="0.25">
      <c r="M207" s="86"/>
      <c r="N207" s="86"/>
      <c r="O207" s="86"/>
      <c r="P207" s="86"/>
      <c r="Q207" s="86"/>
      <c r="R207" s="86"/>
      <c r="U207" s="9"/>
      <c r="V207" s="9"/>
      <c r="W207" s="9"/>
      <c r="X207" s="92"/>
    </row>
    <row r="208" spans="13:24" x14ac:dyDescent="0.25">
      <c r="M208" s="86"/>
      <c r="N208" s="86"/>
      <c r="O208" s="86"/>
      <c r="P208" s="86"/>
      <c r="Q208" s="86"/>
      <c r="R208" s="86"/>
      <c r="U208" s="9"/>
      <c r="V208" s="9"/>
      <c r="W208" s="9"/>
      <c r="X208" s="92"/>
    </row>
    <row r="209" spans="13:24" x14ac:dyDescent="0.25">
      <c r="M209" s="86"/>
      <c r="N209" s="86"/>
      <c r="O209" s="86"/>
      <c r="P209" s="86"/>
      <c r="Q209" s="86"/>
      <c r="R209" s="86"/>
      <c r="U209" s="9"/>
      <c r="V209" s="9"/>
      <c r="W209" s="9"/>
      <c r="X209" s="92"/>
    </row>
    <row r="210" spans="13:24" x14ac:dyDescent="0.25">
      <c r="M210" s="86"/>
      <c r="N210" s="86"/>
      <c r="O210" s="86"/>
      <c r="P210" s="86"/>
      <c r="Q210" s="86"/>
      <c r="R210" s="86"/>
      <c r="U210" s="9"/>
      <c r="V210" s="9"/>
      <c r="W210" s="9"/>
      <c r="X210" s="92"/>
    </row>
    <row r="211" spans="13:24" x14ac:dyDescent="0.25">
      <c r="M211" s="86"/>
      <c r="N211" s="86"/>
      <c r="O211" s="86"/>
      <c r="P211" s="86"/>
      <c r="Q211" s="86"/>
      <c r="R211" s="86"/>
      <c r="U211" s="9"/>
      <c r="V211" s="9"/>
      <c r="W211" s="9"/>
      <c r="X211" s="92"/>
    </row>
    <row r="212" spans="13:24" x14ac:dyDescent="0.25">
      <c r="M212" s="86"/>
      <c r="N212" s="86"/>
      <c r="O212" s="86"/>
      <c r="P212" s="86"/>
      <c r="Q212" s="86"/>
      <c r="R212" s="86"/>
      <c r="U212" s="9"/>
      <c r="V212" s="9"/>
      <c r="W212" s="9"/>
      <c r="X212" s="92"/>
    </row>
    <row r="213" spans="13:24" x14ac:dyDescent="0.25">
      <c r="M213" s="86"/>
      <c r="N213" s="86"/>
      <c r="O213" s="86"/>
      <c r="P213" s="86"/>
      <c r="Q213" s="86"/>
      <c r="R213" s="86"/>
      <c r="U213" s="9"/>
      <c r="V213" s="9"/>
      <c r="W213" s="9"/>
      <c r="X213" s="92"/>
    </row>
    <row r="214" spans="13:24" x14ac:dyDescent="0.25">
      <c r="M214" s="86"/>
      <c r="N214" s="86"/>
      <c r="O214" s="86"/>
      <c r="P214" s="86"/>
      <c r="Q214" s="86"/>
      <c r="R214" s="86"/>
      <c r="U214" s="9"/>
      <c r="V214" s="9"/>
      <c r="W214" s="9"/>
      <c r="X214" s="92"/>
    </row>
    <row r="215" spans="13:24" x14ac:dyDescent="0.25">
      <c r="M215" s="86"/>
      <c r="N215" s="86"/>
      <c r="O215" s="86"/>
      <c r="P215" s="86"/>
      <c r="Q215" s="86"/>
      <c r="R215" s="86"/>
      <c r="W215" s="26"/>
      <c r="X215" s="92"/>
    </row>
    <row r="216" spans="13:24" x14ac:dyDescent="0.25">
      <c r="M216" s="86"/>
      <c r="N216" s="86"/>
      <c r="O216" s="86"/>
      <c r="P216" s="86"/>
      <c r="Q216" s="86"/>
      <c r="R216" s="86"/>
      <c r="W216" s="26"/>
      <c r="X216" s="92"/>
    </row>
    <row r="217" spans="13:24" x14ac:dyDescent="0.25">
      <c r="M217" s="86"/>
      <c r="N217" s="86"/>
      <c r="O217" s="86"/>
      <c r="P217" s="86"/>
      <c r="Q217" s="86"/>
      <c r="R217" s="86"/>
      <c r="W217" s="26"/>
      <c r="X217" s="92"/>
    </row>
    <row r="218" spans="13:24" x14ac:dyDescent="0.25">
      <c r="M218" s="86"/>
      <c r="N218" s="86"/>
      <c r="O218" s="86"/>
      <c r="P218" s="86"/>
      <c r="Q218" s="86"/>
      <c r="R218" s="86"/>
      <c r="W218" s="26"/>
      <c r="X218" s="92"/>
    </row>
    <row r="219" spans="13:24" x14ac:dyDescent="0.25">
      <c r="M219" s="86"/>
      <c r="N219" s="86"/>
      <c r="O219" s="86"/>
      <c r="P219" s="86"/>
      <c r="Q219" s="86"/>
      <c r="R219" s="86"/>
      <c r="W219" s="26"/>
      <c r="X219" s="92"/>
    </row>
    <row r="220" spans="13:24" x14ac:dyDescent="0.25">
      <c r="M220" s="86"/>
    </row>
    <row r="221" spans="13:24" x14ac:dyDescent="0.25">
      <c r="M221" s="86"/>
    </row>
    <row r="222" spans="13:24" x14ac:dyDescent="0.25">
      <c r="M222" s="86"/>
    </row>
    <row r="223" spans="13:24" x14ac:dyDescent="0.25">
      <c r="M223" s="86"/>
    </row>
    <row r="224" spans="13:24" x14ac:dyDescent="0.25">
      <c r="M224" s="86"/>
    </row>
    <row r="225" spans="13:13" x14ac:dyDescent="0.25">
      <c r="M225" s="86"/>
    </row>
    <row r="226" spans="13:13" x14ac:dyDescent="0.25">
      <c r="M226" s="86"/>
    </row>
    <row r="227" spans="13:13" x14ac:dyDescent="0.25">
      <c r="M227" s="86"/>
    </row>
  </sheetData>
  <mergeCells count="14">
    <mergeCell ref="AB29:AC29"/>
    <mergeCell ref="J1:J2"/>
    <mergeCell ref="K1:K2"/>
    <mergeCell ref="Z38:AA38"/>
    <mergeCell ref="Z47:AA47"/>
    <mergeCell ref="G1:G2"/>
    <mergeCell ref="H1:H2"/>
    <mergeCell ref="Z29:AA29"/>
    <mergeCell ref="A1:A2"/>
    <mergeCell ref="F1:F2"/>
    <mergeCell ref="E1:E2"/>
    <mergeCell ref="D1:D2"/>
    <mergeCell ref="C1:C2"/>
    <mergeCell ref="B1:B2"/>
  </mergeCells>
  <pageMargins left="0.7" right="0.7" top="0.75" bottom="0.75" header="0.3" footer="0.3"/>
  <ignoredErrors>
    <ignoredError sqref="D14" unlockedFormula="1"/>
    <ignoredError sqref="AA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DA9694"/>
  </sheetPr>
  <dimension ref="B1:AC48"/>
  <sheetViews>
    <sheetView showGridLines="0" zoomScale="130" workbookViewId="0">
      <selection activeCell="P10" sqref="P10"/>
    </sheetView>
  </sheetViews>
  <sheetFormatPr defaultColWidth="9.140625" defaultRowHeight="15" customHeight="1" x14ac:dyDescent="0.25"/>
  <cols>
    <col min="1" max="1" width="2.5703125" style="101" customWidth="1"/>
    <col min="2" max="17" width="7.7109375" style="101" bestFit="1" customWidth="1"/>
    <col min="18" max="18" width="7.5703125" style="101" bestFit="1" customWidth="1"/>
    <col min="19" max="19" width="6.85546875" style="101" customWidth="1"/>
    <col min="20" max="24" width="5.85546875" style="101" customWidth="1"/>
    <col min="25" max="29" width="4.85546875" style="101" customWidth="1"/>
    <col min="30" max="16384" width="9.140625" style="101"/>
  </cols>
  <sheetData>
    <row r="1" spans="2:29" s="102" customFormat="1" ht="15" customHeight="1" x14ac:dyDescent="0.25">
      <c r="X1" s="102" t="s">
        <v>63</v>
      </c>
    </row>
    <row r="2" spans="2:29" s="103" customFormat="1" ht="15" customHeight="1" x14ac:dyDescent="0.25">
      <c r="B2" s="104" t="s">
        <v>44</v>
      </c>
      <c r="C2" s="105"/>
      <c r="D2" s="106"/>
      <c r="E2" s="106"/>
      <c r="F2" s="106"/>
      <c r="G2" s="106"/>
      <c r="H2" s="106"/>
      <c r="I2" s="106"/>
      <c r="J2" s="107" t="s">
        <v>34</v>
      </c>
      <c r="K2" s="106"/>
      <c r="L2" s="106"/>
      <c r="M2" s="106"/>
      <c r="N2" s="106"/>
      <c r="O2" s="106"/>
      <c r="P2" s="106"/>
      <c r="Q2" s="108"/>
      <c r="R2" s="109"/>
    </row>
    <row r="3" spans="2:29" s="103" customFormat="1" ht="15" customHeight="1" x14ac:dyDescent="0.25">
      <c r="B3" s="110" t="s">
        <v>45</v>
      </c>
      <c r="C3" s="111">
        <v>1</v>
      </c>
      <c r="D3" s="112">
        <v>2</v>
      </c>
      <c r="E3" s="112">
        <v>3</v>
      </c>
      <c r="F3" s="112">
        <v>4</v>
      </c>
      <c r="G3" s="112">
        <v>5</v>
      </c>
      <c r="H3" s="112">
        <v>6</v>
      </c>
      <c r="I3" s="112">
        <v>7</v>
      </c>
      <c r="J3" s="112">
        <v>8</v>
      </c>
      <c r="K3" s="111">
        <v>9</v>
      </c>
      <c r="L3" s="112">
        <v>10</v>
      </c>
      <c r="M3" s="112">
        <v>11</v>
      </c>
      <c r="N3" s="112">
        <v>12</v>
      </c>
      <c r="O3" s="111">
        <v>13</v>
      </c>
      <c r="P3" s="112">
        <v>14</v>
      </c>
      <c r="Q3" s="112">
        <v>15</v>
      </c>
      <c r="R3" s="109">
        <f ca="1">IF(Ref!$Z$4&lt;=B5,R5,IF(Ref!$Z$4=B6,R6,IF(Ref!$Z$4=B7,R7,IF(Ref!$Z$4=B8,R8,IF(Ref!$Z$4=B9,R9,IF(Ref!$Z$4=B10,R10,IF(Ref!$Z$4=B11,R11,IF(Ref!$Z$4=B12,R12,IF(Ref!$Z$4=B13,R13,IF(Ref!$Z$4=B14,R14,IF(Ref!$Z$4=B15,R15,IF(Ref!$Z$4=B16,R16,IF(Ref!$Z$4=B17,R17,IF(Ref!$Z$4=B18,R18,IF(Ref!$Z$4=B19,R19,IF(Ref!$Z$4=B20,R20,IF(Ref!$Z$4=B21,R21,IF(Ref!$Z$4=B22,R22,IF(Ref!$Z$4=B23,R23,IF(Ref!$Z$4=B24,R24,IF(Ref!$Z$4&lt;80,R24)))))))))))))))))))))</f>
        <v>0.255</v>
      </c>
      <c r="T3" s="113">
        <v>12</v>
      </c>
      <c r="U3" s="114">
        <v>24</v>
      </c>
      <c r="V3" s="114">
        <v>36</v>
      </c>
      <c r="W3" s="114">
        <v>48</v>
      </c>
      <c r="X3" s="114">
        <v>60</v>
      </c>
      <c r="Y3" s="114">
        <v>72</v>
      </c>
      <c r="Z3" s="114">
        <v>84</v>
      </c>
      <c r="AA3" s="114">
        <v>96</v>
      </c>
      <c r="AB3" s="114">
        <v>108</v>
      </c>
      <c r="AC3" s="114">
        <v>120</v>
      </c>
    </row>
    <row r="4" spans="2:29" s="103" customFormat="1" ht="5.0999999999999996" customHeight="1" x14ac:dyDescent="0.25">
      <c r="B4" s="115"/>
      <c r="C4" s="116"/>
      <c r="D4" s="116"/>
      <c r="E4" s="116"/>
      <c r="F4" s="116"/>
      <c r="G4" s="116"/>
      <c r="H4" s="116"/>
      <c r="I4" s="117"/>
      <c r="J4" s="117"/>
      <c r="K4" s="117"/>
      <c r="L4" s="117"/>
      <c r="M4" s="116"/>
      <c r="N4" s="117"/>
      <c r="O4" s="117"/>
      <c r="P4" s="117"/>
      <c r="Q4" s="117"/>
      <c r="R4" s="118"/>
    </row>
    <row r="5" spans="2:29" ht="15" customHeight="1" x14ac:dyDescent="0.25">
      <c r="B5" s="119">
        <v>65</v>
      </c>
      <c r="C5" s="120">
        <f>ROUNDUP('[1]Asuransi Original'!C5*75%,4)</f>
        <v>4.8999999999999998E-3</v>
      </c>
      <c r="D5" s="120">
        <f>ROUNDUP('[1]Asuransi Original'!D5*75%,4)</f>
        <v>9.7999999999999997E-3</v>
      </c>
      <c r="E5" s="120">
        <f>ROUNDUP('[1]Asuransi Original'!E5*75%,4)</f>
        <v>1.47E-2</v>
      </c>
      <c r="F5" s="120">
        <f>ROUNDUP('[1]Asuransi Original'!F5*75%,4)</f>
        <v>1.95E-2</v>
      </c>
      <c r="G5" s="120">
        <f>ROUNDUP('[1]Asuransi Original'!G5*75%,4)</f>
        <v>2.4399999999999998E-2</v>
      </c>
      <c r="H5" s="120">
        <f>ROUNDUP('[1]Asuransi Original'!H5*75%,4)</f>
        <v>5.0800000000000005E-2</v>
      </c>
      <c r="I5" s="120">
        <f>ROUNDUP('[1]Asuransi Original'!I5*75%,4)</f>
        <v>6.1499999999999999E-2</v>
      </c>
      <c r="J5" s="120">
        <f>ROUNDUP('[1]Asuransi Original'!J5*75%,4)</f>
        <v>7.4300000000000005E-2</v>
      </c>
      <c r="K5" s="120">
        <f>ROUNDUP('[1]Asuransi Original'!K5*75%,4)</f>
        <v>7.9899999999999999E-2</v>
      </c>
      <c r="L5" s="120">
        <f>ROUNDUP('[1]Asuransi Original'!L5*75%,4)</f>
        <v>9.2300000000000007E-2</v>
      </c>
      <c r="M5" s="120">
        <f>ROUNDUP('[1]Asuransi Original'!M5*75%,4)</f>
        <v>0.16619999999999999</v>
      </c>
      <c r="N5" s="120">
        <f>ROUNDUP('[1]Asuransi Original'!N5*75%,4)</f>
        <v>0.1759</v>
      </c>
      <c r="O5" s="120">
        <f>ROUNDUP('[1]Asuransi Original'!O5*75%,4)</f>
        <v>0.18379999999999999</v>
      </c>
      <c r="P5" s="120">
        <f>ROUNDUP('[1]Asuransi Original'!P5*75%,4)</f>
        <v>0.189</v>
      </c>
      <c r="Q5" s="120">
        <f>ROUNDUP('[1]Asuransi Original'!Q5*75%,4)</f>
        <v>0.19199999999999998</v>
      </c>
      <c r="R5" s="121">
        <f>IF(Ref!$Z$16&lt;=$C$3,C5,IF(Ref!$Z$16&lt;$D$3,C5,IF(Ref!$Z$16&lt;$E$3,D5,IF(Ref!$Z$16&lt;$F$3,E5,IF(Ref!$Z$16&lt;$G$3,F5,IF(Ref!$Z$16&lt;$H$3,G5,(IF(Ref!$Z$16&lt;$I$3,H5,IF(Ref!$Z$16&lt;$J$3,I5,IF(Ref!$Z$16&lt;$K$3,J5,IF(Ref!$Z$16&lt;$L$3,K5,IF(Ref!$Z$16&lt;$M$3,L5,IF(Ref!$Z$16&lt;$N$3,M5,IF(Ref!$Z$16&lt;$O$3,N5,IF(Ref!$Z$16&lt;$P$3,O5,IF(Ref!$Z$16&lt;$Q$3,P5,IF(Ref!$Z$16&lt;=$Q$3,Q5)))))))))))))))))</f>
        <v>9.2300000000000007E-2</v>
      </c>
      <c r="S5" t="s">
        <v>64</v>
      </c>
      <c r="T5" s="122">
        <v>6.0690000000000001E-2</v>
      </c>
      <c r="U5" s="122">
        <v>9.1359999999999997E-2</v>
      </c>
      <c r="V5" s="122">
        <v>0.12993000000000002</v>
      </c>
      <c r="W5" s="122">
        <v>0.16078999999999999</v>
      </c>
      <c r="X5" s="122">
        <v>0.19356999999999999</v>
      </c>
      <c r="Y5" s="122">
        <v>0.22025</v>
      </c>
      <c r="Z5" s="122">
        <v>0.24371000000000001</v>
      </c>
      <c r="AA5" s="122">
        <v>0.26685999999999999</v>
      </c>
      <c r="AB5" s="122">
        <v>0.28806999999999999</v>
      </c>
      <c r="AC5" s="122">
        <v>0.29931999999999997</v>
      </c>
    </row>
    <row r="6" spans="2:29" ht="15" customHeight="1" x14ac:dyDescent="0.25">
      <c r="B6" s="119">
        <v>66</v>
      </c>
      <c r="C6" s="120">
        <f>ROUNDUP('[1]Asuransi Original'!C6*75%,4)</f>
        <v>4.8999999999999998E-3</v>
      </c>
      <c r="D6" s="120">
        <f>ROUNDUP('[1]Asuransi Original'!D6*75%,4)</f>
        <v>9.7999999999999997E-3</v>
      </c>
      <c r="E6" s="120">
        <f>ROUNDUP('[1]Asuransi Original'!E6*75%,4)</f>
        <v>1.47E-2</v>
      </c>
      <c r="F6" s="120">
        <f>ROUNDUP('[1]Asuransi Original'!F6*75%,4)</f>
        <v>1.95E-2</v>
      </c>
      <c r="G6" s="120">
        <f>ROUNDUP('[1]Asuransi Original'!G6*75%,4)</f>
        <v>4.5900000000000003E-2</v>
      </c>
      <c r="H6" s="120">
        <f>ROUNDUP('[1]Asuransi Original'!H6*75%,4)</f>
        <v>5.67E-2</v>
      </c>
      <c r="I6" s="120">
        <f>ROUNDUP('[1]Asuransi Original'!I6*75%,4)</f>
        <v>6.9400000000000003E-2</v>
      </c>
      <c r="J6" s="120">
        <f>ROUNDUP('[1]Asuransi Original'!J6*75%,4)</f>
        <v>7.4999999999999997E-2</v>
      </c>
      <c r="K6" s="120">
        <f>ROUNDUP('[1]Asuransi Original'!K6*75%,4)</f>
        <v>8.7400000000000005E-2</v>
      </c>
      <c r="L6" s="120">
        <f>ROUNDUP('[1]Asuransi Original'!L6*75%,4)</f>
        <v>0.16619999999999999</v>
      </c>
      <c r="M6" s="120">
        <f>ROUNDUP('[1]Asuransi Original'!M6*75%,4)</f>
        <v>0.1774</v>
      </c>
      <c r="N6" s="120">
        <f>ROUNDUP('[1]Asuransi Original'!N6*75%,4)</f>
        <v>0.18379999999999999</v>
      </c>
      <c r="O6" s="120">
        <f>ROUNDUP('[1]Asuransi Original'!O6*75%,4)</f>
        <v>0.18379999999999999</v>
      </c>
      <c r="P6" s="120">
        <f>ROUNDUP('[1]Asuransi Original'!P6*75%,4)</f>
        <v>0.19019999999999998</v>
      </c>
      <c r="Q6" s="123">
        <v>0</v>
      </c>
      <c r="R6" s="121">
        <f>IF(Ref!$Z$16&lt;=$C$3,C6,IF(Ref!$Z$16&lt;$D$3,C6,IF(Ref!$Z$16&lt;$E$3,D6,IF(Ref!$Z$16&lt;$F$3,E6,IF(Ref!$Z$16&lt;$G$3,F6,IF(Ref!$Z$16&lt;$H$3,G6,(IF(Ref!$Z$16&lt;$I$3,H6,IF(Ref!$Z$16&lt;$J$3,I6,IF(Ref!$Z$16&lt;$K$3,J6,IF(Ref!$Z$16&lt;$L$3,K6,IF(Ref!$Z$16&lt;$M$3,L6,IF(Ref!$Z$16&lt;$N$3,M6,IF(Ref!$Z$16&lt;$O$3,N6,IF(Ref!$Z$16&lt;$P$3,O6,IF(Ref!$Z$16&lt;$Q$3,P6,IF(Ref!$Z$16&lt;=$Q$3,Q6)))))))))))))))))</f>
        <v>0.16619999999999999</v>
      </c>
      <c r="S6"/>
      <c r="T6" s="122">
        <v>6.5000000000000002E-2</v>
      </c>
      <c r="U6" s="122">
        <v>0.11</v>
      </c>
      <c r="V6" s="122">
        <v>0.15178999999999998</v>
      </c>
      <c r="W6" s="122">
        <v>0.19500000000000001</v>
      </c>
      <c r="X6" s="122">
        <v>0.23921000000000001</v>
      </c>
      <c r="Y6" s="122">
        <v>0</v>
      </c>
      <c r="Z6" s="122">
        <v>0</v>
      </c>
      <c r="AA6" s="122">
        <v>0</v>
      </c>
      <c r="AB6" s="122">
        <v>0</v>
      </c>
      <c r="AC6" s="122">
        <v>0</v>
      </c>
    </row>
    <row r="7" spans="2:29" ht="15" customHeight="1" x14ac:dyDescent="0.25">
      <c r="B7" s="119">
        <v>67</v>
      </c>
      <c r="C7" s="120">
        <f>ROUNDUP('[1]Asuransi Original'!C7*75%,4)</f>
        <v>4.8999999999999998E-3</v>
      </c>
      <c r="D7" s="120">
        <f>ROUNDUP('[1]Asuransi Original'!D7*75%,4)</f>
        <v>9.7999999999999997E-3</v>
      </c>
      <c r="E7" s="120">
        <f>ROUNDUP('[1]Asuransi Original'!E7*75%,4)</f>
        <v>1.47E-2</v>
      </c>
      <c r="F7" s="120">
        <f>ROUNDUP('[1]Asuransi Original'!F7*75%,4)</f>
        <v>4.1100000000000005E-2</v>
      </c>
      <c r="G7" s="120">
        <f>ROUNDUP('[1]Asuransi Original'!G7*75%,4)</f>
        <v>5.1800000000000006E-2</v>
      </c>
      <c r="H7" s="120">
        <f>ROUNDUP('[1]Asuransi Original'!H7*75%,4)</f>
        <v>6.4500000000000002E-2</v>
      </c>
      <c r="I7" s="120">
        <f>ROUNDUP('[1]Asuransi Original'!I7*75%,4)</f>
        <v>7.0199999999999999E-2</v>
      </c>
      <c r="J7" s="120">
        <f>ROUNDUP('[1]Asuransi Original'!J7*75%,4)</f>
        <v>8.2500000000000004E-2</v>
      </c>
      <c r="K7" s="120">
        <f>ROUNDUP('[1]Asuransi Original'!K7*75%,4)</f>
        <v>0.1699</v>
      </c>
      <c r="L7" s="120">
        <f>ROUNDUP('[1]Asuransi Original'!L7*75%,4)</f>
        <v>0.17369999999999999</v>
      </c>
      <c r="M7" s="120">
        <f>ROUNDUP('[1]Asuransi Original'!M7*75%,4)</f>
        <v>0.1774</v>
      </c>
      <c r="N7" s="120">
        <f>ROUNDUP('[1]Asuransi Original'!N7*75%,4)</f>
        <v>0.18379999999999999</v>
      </c>
      <c r="O7" s="120">
        <f>ROUNDUP('[1]Asuransi Original'!O7*75%,4)</f>
        <v>0.1812</v>
      </c>
      <c r="P7" s="123">
        <v>0</v>
      </c>
      <c r="Q7" s="123">
        <v>0</v>
      </c>
      <c r="R7" s="121">
        <f>IF(Ref!$Z$16&lt;=$C$3,C7,IF(Ref!$Z$16&lt;$D$3,C7,IF(Ref!$Z$16&lt;$E$3,D7,IF(Ref!$Z$16&lt;$F$3,E7,IF(Ref!$Z$16&lt;$G$3,F7,IF(Ref!$Z$16&lt;$H$3,G7,(IF(Ref!$Z$16&lt;$I$3,H7,IF(Ref!$Z$16&lt;$J$3,I7,IF(Ref!$Z$16&lt;$K$3,J7,IF(Ref!$Z$16&lt;$L$3,K7,IF(Ref!$Z$16&lt;$M$3,L7,IF(Ref!$Z$16&lt;$N$3,M7,IF(Ref!$Z$16&lt;$O$3,N7,IF(Ref!$Z$16&lt;$P$3,O7,IF(Ref!$Z$16&lt;$Q$3,P7,IF(Ref!$Z$16&lt;=$Q$3,Q7)))))))))))))))))</f>
        <v>0.17369999999999999</v>
      </c>
      <c r="S7"/>
      <c r="T7" t="s">
        <v>65</v>
      </c>
      <c r="U7" t="s">
        <v>66</v>
      </c>
      <c r="V7" t="s">
        <v>67</v>
      </c>
      <c r="W7" t="s">
        <v>68</v>
      </c>
      <c r="X7" t="s">
        <v>69</v>
      </c>
      <c r="Y7"/>
      <c r="Z7"/>
      <c r="AA7"/>
      <c r="AB7"/>
      <c r="AC7"/>
    </row>
    <row r="8" spans="2:29" ht="15" customHeight="1" x14ac:dyDescent="0.25">
      <c r="B8" s="119">
        <v>68</v>
      </c>
      <c r="C8" s="120">
        <f>ROUNDUP('[1]Asuransi Original'!C8*75%,4)</f>
        <v>4.8999999999999998E-3</v>
      </c>
      <c r="D8" s="120">
        <f>ROUNDUP('[1]Asuransi Original'!D8*75%,4)</f>
        <v>9.7999999999999997E-3</v>
      </c>
      <c r="E8" s="120">
        <f>ROUNDUP('[1]Asuransi Original'!E8*75%,4)</f>
        <v>3.6200000000000003E-2</v>
      </c>
      <c r="F8" s="120">
        <f>ROUNDUP('[1]Asuransi Original'!F8*75%,4)</f>
        <v>4.6900000000000004E-2</v>
      </c>
      <c r="G8" s="120">
        <f>ROUNDUP('[1]Asuransi Original'!G8*75%,4)</f>
        <v>5.9700000000000003E-2</v>
      </c>
      <c r="H8" s="120">
        <f>ROUNDUP('[1]Asuransi Original'!H8*75%,4)</f>
        <v>6.5299999999999997E-2</v>
      </c>
      <c r="I8" s="120">
        <f>ROUNDUP('[1]Asuransi Original'!I8*75%,4)</f>
        <v>7.7700000000000005E-2</v>
      </c>
      <c r="J8" s="120">
        <f>ROUNDUP('[1]Asuransi Original'!J8*75%,4)</f>
        <v>0.16619999999999999</v>
      </c>
      <c r="K8" s="120">
        <f>ROUNDUP('[1]Asuransi Original'!K8*75%,4)</f>
        <v>0.1714</v>
      </c>
      <c r="L8" s="120">
        <f>ROUNDUP('[1]Asuransi Original'!L8*75%,4)</f>
        <v>0.1774</v>
      </c>
      <c r="M8" s="120">
        <f>ROUNDUP('[1]Asuransi Original'!M8*75%,4)</f>
        <v>0.18489999999999998</v>
      </c>
      <c r="N8" s="120">
        <f>ROUNDUP('[1]Asuransi Original'!N8*75%,4)</f>
        <v>0.18869999999999998</v>
      </c>
      <c r="O8" s="123">
        <v>0</v>
      </c>
      <c r="P8" s="123">
        <v>0</v>
      </c>
      <c r="Q8" s="123">
        <v>0</v>
      </c>
      <c r="R8" s="121">
        <f>IF(Ref!$Z$16&lt;=$C$3,C8,IF(Ref!$Z$16&lt;$D$3,C8,IF(Ref!$Z$16&lt;$E$3,D8,IF(Ref!$Z$16&lt;$F$3,E8,IF(Ref!$Z$16&lt;$G$3,F8,IF(Ref!$Z$16&lt;$H$3,G8,(IF(Ref!$Z$16&lt;$I$3,H8,IF(Ref!$Z$16&lt;$J$3,I8,IF(Ref!$Z$16&lt;$K$3,J8,IF(Ref!$Z$16&lt;$L$3,K8,IF(Ref!$Z$16&lt;$M$3,L8,IF(Ref!$Z$16&lt;$N$3,M8,IF(Ref!$Z$16&lt;$O$3,N8,IF(Ref!$Z$16&lt;$P$3,O8,IF(Ref!$Z$16&lt;$Q$3,P8,IF(Ref!$Z$16&lt;=$Q$3,Q8)))))))))))))))))</f>
        <v>0.1774</v>
      </c>
      <c r="S8" s="124"/>
      <c r="T8" s="124"/>
      <c r="U8" s="124"/>
      <c r="V8"/>
      <c r="W8"/>
      <c r="X8"/>
      <c r="Y8"/>
      <c r="Z8"/>
      <c r="AA8"/>
      <c r="AB8"/>
      <c r="AC8"/>
    </row>
    <row r="9" spans="2:29" ht="15" customHeight="1" x14ac:dyDescent="0.25">
      <c r="B9" s="119">
        <v>69</v>
      </c>
      <c r="C9" s="120">
        <f>ROUNDUP('[1]Asuransi Original'!C9*75%,4)</f>
        <v>4.8999999999999998E-3</v>
      </c>
      <c r="D9" s="120">
        <f>ROUNDUP('[1]Asuransi Original'!D9*75%,4)</f>
        <v>3.1300000000000001E-2</v>
      </c>
      <c r="E9" s="120">
        <f>ROUNDUP('[1]Asuransi Original'!E9*75%,4)</f>
        <v>4.2000000000000003E-2</v>
      </c>
      <c r="F9" s="120">
        <f>ROUNDUP('[1]Asuransi Original'!F9*75%,4)</f>
        <v>5.4800000000000001E-2</v>
      </c>
      <c r="G9" s="120">
        <f>ROUNDUP('[1]Asuransi Original'!G9*75%,4)</f>
        <v>6.0400000000000002E-2</v>
      </c>
      <c r="H9" s="120">
        <f>ROUNDUP('[1]Asuransi Original'!H9*75%,4)</f>
        <v>7.2800000000000004E-2</v>
      </c>
      <c r="I9" s="120">
        <f>ROUNDUP('[1]Asuransi Original'!I9*75%,4)</f>
        <v>0.16919999999999999</v>
      </c>
      <c r="J9" s="120">
        <f>ROUNDUP('[1]Asuransi Original'!J9*75%,4)</f>
        <v>0.17369999999999999</v>
      </c>
      <c r="K9" s="120">
        <f>ROUNDUP('[1]Asuransi Original'!K9*75%,4)</f>
        <v>0.17369999999999999</v>
      </c>
      <c r="L9" s="120">
        <f>ROUNDUP('[1]Asuransi Original'!L9*75%,4)</f>
        <v>0.1812</v>
      </c>
      <c r="M9" s="120">
        <f>ROUNDUP('[1]Asuransi Original'!M9*75%,4)</f>
        <v>0.18639999999999998</v>
      </c>
      <c r="N9" s="123">
        <v>0</v>
      </c>
      <c r="O9" s="123">
        <v>0</v>
      </c>
      <c r="P9" s="123">
        <v>0</v>
      </c>
      <c r="Q9" s="123">
        <v>0</v>
      </c>
      <c r="R9" s="125">
        <f>IF(Ref!$Z$16&lt;=$C$3,C9,IF(Ref!$Z$16&lt;$D$3,C9,IF(Ref!$Z$16&lt;$E$3,D9,IF(Ref!$Z$16&lt;$F$3,E9,IF(Ref!$Z$16&lt;$G$3,F9,IF(Ref!$Z$16&lt;$H$3,G9,(IF(Ref!$Z$16&lt;$I$3,H9,IF(Ref!$Z$16&lt;$J$3,I9,IF(Ref!$Z$16&lt;$K$3,J9,IF(Ref!$Z$16&lt;$L$3,K9,IF(Ref!$Z$16&lt;$M$3,L9,IF(Ref!$Z$16&lt;$N$3,M9,IF(Ref!$Z$16&lt;$O$3,N9,IF(Ref!$Z$16&lt;$P$3,O9,IF(Ref!$Z$16&lt;$Q$3,P9,IF(Ref!$Z$16&lt;=$Q$3,Q9)))))))))))))))))</f>
        <v>0.1812</v>
      </c>
      <c r="S9" s="126" t="s">
        <v>140</v>
      </c>
      <c r="T9" s="127">
        <f ca="1">IF('Simulasi BPR'!$I$7&lt;=65,65,'Simulasi BPR'!I7)</f>
        <v>74</v>
      </c>
      <c r="U9" s="128">
        <f>Ref!$Z$16</f>
        <v>10</v>
      </c>
      <c r="V9" s="129">
        <f ca="1">INDEX($C$5:$Q$24,MATCH($T9,$B$5:$B$24,0),MATCH($U9,$C$3:$Q$3,0))</f>
        <v>0.24</v>
      </c>
      <c r="W9"/>
      <c r="X9"/>
      <c r="Y9"/>
      <c r="Z9"/>
      <c r="AA9"/>
      <c r="AB9"/>
      <c r="AC9"/>
    </row>
    <row r="10" spans="2:29" ht="15" customHeight="1" x14ac:dyDescent="0.25">
      <c r="B10" s="119">
        <v>70</v>
      </c>
      <c r="C10" s="120">
        <f>ROUNDUP('[1]Asuransi Original'!C10*75%,4)</f>
        <v>2.64E-2</v>
      </c>
      <c r="D10" s="120">
        <f>ROUNDUP('[1]Asuransi Original'!D10*75%,4)</f>
        <v>3.27E-2</v>
      </c>
      <c r="E10" s="120">
        <f>ROUNDUP('[1]Asuransi Original'!E10*75%,4)</f>
        <v>4.99E-2</v>
      </c>
      <c r="F10" s="120">
        <f>ROUNDUP('[1]Asuransi Original'!F10*75%,4)</f>
        <v>5.5500000000000001E-2</v>
      </c>
      <c r="G10" s="120">
        <f>ROUNDUP('[1]Asuransi Original'!G10*75%,4)</f>
        <v>6.7900000000000002E-2</v>
      </c>
      <c r="H10" s="120">
        <f>ROUNDUP('[1]Asuransi Original'!H10*75%,4)</f>
        <v>0.16169999999999998</v>
      </c>
      <c r="I10" s="120">
        <f>ROUNDUP('[1]Asuransi Original'!I10*75%,4)</f>
        <v>0.1714</v>
      </c>
      <c r="J10" s="120">
        <f>ROUNDUP('[1]Asuransi Original'!J10*75%,4)</f>
        <v>0.1759</v>
      </c>
      <c r="K10" s="120">
        <f>ROUNDUP('[1]Asuransi Original'!K10*75%,4)</f>
        <v>0.1774</v>
      </c>
      <c r="L10" s="120">
        <f>ROUNDUP('[1]Asuransi Original'!L10*75%,4)</f>
        <v>0.18339999999999998</v>
      </c>
      <c r="M10" s="123">
        <v>0</v>
      </c>
      <c r="N10" s="123">
        <v>0</v>
      </c>
      <c r="O10" s="123">
        <v>0</v>
      </c>
      <c r="P10" s="123">
        <v>0</v>
      </c>
      <c r="Q10" s="123">
        <v>0</v>
      </c>
      <c r="R10" s="125">
        <f>IF(Ref!$Z$16&lt;=$C$3,C10,IF(Ref!$Z$16&lt;$D$3,C10,IF(Ref!$Z$16&lt;$E$3,D10,IF(Ref!$Z$16&lt;$F$3,E10,IF(Ref!$Z$16&lt;$G$3,F10,IF(Ref!$Z$16&lt;$H$3,G10,(IF(Ref!$Z$16&lt;$I$3,H10,IF(Ref!$Z$16&lt;$J$3,I10,IF(Ref!$Z$16&lt;$K$3,J10,IF(Ref!$Z$16&lt;$L$3,K10,IF(Ref!$Z$16&lt;$M$3,L10,IF(Ref!$Z$16&lt;$N$3,M10,IF(Ref!$Z$16&lt;$O$3,N10,IF(Ref!$Z$16&lt;$P$3,O10,IF(Ref!$Z$16&lt;$Q$3,P10,IF(Ref!$Z$16&lt;=$Q$3,Q10)))))))))))))))))</f>
        <v>0.18339999999999998</v>
      </c>
      <c r="S10" s="126" t="s">
        <v>141</v>
      </c>
      <c r="T10" s="127">
        <f ca="1">T9+1</f>
        <v>75</v>
      </c>
      <c r="U10" s="127">
        <f>Ref!$Z$16</f>
        <v>10</v>
      </c>
      <c r="V10" s="129">
        <f ca="1">INDEX($C$5:$Q$24,MATCH($T10,$B$5:$B$24,0),MATCH($U10,$C$3:$Q$3,0))</f>
        <v>0.255</v>
      </c>
      <c r="W10"/>
      <c r="X10"/>
      <c r="Y10"/>
      <c r="Z10"/>
      <c r="AA10"/>
      <c r="AB10"/>
      <c r="AC10"/>
    </row>
    <row r="11" spans="2:29" ht="15" customHeight="1" x14ac:dyDescent="0.25">
      <c r="B11" s="119">
        <v>71</v>
      </c>
      <c r="C11" s="120">
        <f>ROUNDUP('[1]Asuransi Original'!C11*75%,4)</f>
        <v>2.64E-2</v>
      </c>
      <c r="D11" s="120">
        <f>ROUNDUP('[1]Asuransi Original'!D11*75%,4)</f>
        <v>3.27E-2</v>
      </c>
      <c r="E11" s="120">
        <f>ROUNDUP('[1]Asuransi Original'!E11*75%,4)</f>
        <v>4.99E-2</v>
      </c>
      <c r="F11" s="120">
        <f>ROUNDUP('[1]Asuransi Original'!F11*75%,4)</f>
        <v>5.5500000000000001E-2</v>
      </c>
      <c r="G11" s="120">
        <f>ROUNDUP('[1]Asuransi Original'!G11*75%,4)</f>
        <v>0.16169999999999998</v>
      </c>
      <c r="H11" s="120">
        <f>ROUNDUP('[1]Asuransi Original'!H11*75%,4)</f>
        <v>0.16389999999999999</v>
      </c>
      <c r="I11" s="120">
        <f>ROUNDUP('[1]Asuransi Original'!I11*75%,4)</f>
        <v>0.1729</v>
      </c>
      <c r="J11" s="120">
        <f>ROUNDUP('[1]Asuransi Original'!J11*75%,4)</f>
        <v>0.1767</v>
      </c>
      <c r="K11" s="120">
        <f>ROUNDUP('[1]Asuransi Original'!K11*75%,4)</f>
        <v>0.17889999999999998</v>
      </c>
      <c r="L11" s="120">
        <f>ROUNDUP('[1]Asuransi Original'!L11*75%,4)</f>
        <v>0.19500000000000001</v>
      </c>
      <c r="M11" s="123">
        <v>0</v>
      </c>
      <c r="N11" s="123">
        <v>0</v>
      </c>
      <c r="O11" s="123">
        <v>0</v>
      </c>
      <c r="P11" s="123">
        <v>0</v>
      </c>
      <c r="Q11" s="123">
        <v>0</v>
      </c>
      <c r="R11" s="121">
        <f>IF(Ref!$Z$16&lt;=$C$3,C11,IF(Ref!$Z$16&lt;$D$3,C11,IF(Ref!$Z$16&lt;$E$3,D11,IF(Ref!$Z$16&lt;$F$3,E11,IF(Ref!$Z$16&lt;$G$3,F11,IF(Ref!$Z$16&lt;$H$3,G11,(IF(Ref!$Z$16&lt;$I$3,H11,IF(Ref!$Z$16&lt;$J$3,I11,IF(Ref!$Z$16&lt;$K$3,J11,IF(Ref!$Z$16&lt;$L$3,K11,IF(Ref!$Z$16&lt;$M$3,L11,IF(Ref!$Z$16&lt;$N$3,M11,IF(Ref!$Z$16&lt;$O$3,N11,IF(Ref!$Z$16&lt;$P$3,O11,IF(Ref!$Z$16&lt;$Q$3,P11,IF(Ref!$Z$16&lt;=$Q$3,Q11)))))))))))))))))</f>
        <v>0.19500000000000001</v>
      </c>
      <c r="S11"/>
      <c r="T11"/>
      <c r="U11"/>
      <c r="V11" s="129">
        <f ca="1">IF(V10&gt;V9,V10,V9)</f>
        <v>0.255</v>
      </c>
      <c r="W11"/>
      <c r="X11"/>
      <c r="Y11"/>
      <c r="Z11"/>
      <c r="AA11"/>
      <c r="AB11"/>
      <c r="AC11"/>
    </row>
    <row r="12" spans="2:29" ht="15" customHeight="1" x14ac:dyDescent="0.25">
      <c r="B12" s="119">
        <v>72</v>
      </c>
      <c r="C12" s="120">
        <f>ROUNDUP('[1]Asuransi Original'!C12*75%,4)</f>
        <v>2.64E-2</v>
      </c>
      <c r="D12" s="120">
        <f>ROUNDUP('[1]Asuransi Original'!D12*75%,4)</f>
        <v>3.27E-2</v>
      </c>
      <c r="E12" s="120">
        <f>ROUNDUP('[1]Asuransi Original'!E12*75%,4)</f>
        <v>4.99E-2</v>
      </c>
      <c r="F12" s="120">
        <f>ROUNDUP('[1]Asuransi Original'!F12*75%,4)</f>
        <v>0.13879999999999998</v>
      </c>
      <c r="G12" s="120">
        <f>ROUNDUP('[1]Asuransi Original'!G12*75%,4)</f>
        <v>0.16619999999999999</v>
      </c>
      <c r="H12" s="120">
        <f>ROUNDUP('[1]Asuransi Original'!H12*75%,4)</f>
        <v>0.16839999999999999</v>
      </c>
      <c r="I12" s="120">
        <f>ROUNDUP('[1]Asuransi Original'!I12*75%,4)</f>
        <v>0.17369999999999999</v>
      </c>
      <c r="J12" s="120">
        <f>ROUNDUP('[1]Asuransi Original'!J12*75%,4)</f>
        <v>0.1774</v>
      </c>
      <c r="K12" s="120">
        <f>ROUNDUP('[1]Asuransi Original'!K12*75%,4)</f>
        <v>0.1875</v>
      </c>
      <c r="L12" s="120">
        <f>ROUNDUP('[1]Asuransi Original'!L12*75%,4)</f>
        <v>0.21</v>
      </c>
      <c r="M12" s="123">
        <v>0</v>
      </c>
      <c r="N12" s="123">
        <v>0</v>
      </c>
      <c r="O12" s="123">
        <v>0</v>
      </c>
      <c r="P12" s="123">
        <v>0</v>
      </c>
      <c r="Q12" s="123">
        <v>0</v>
      </c>
      <c r="R12" s="121">
        <f>IF(Ref!$Z$16&lt;=$C$3,C12,IF(Ref!$Z$16&lt;$D$3,C12,IF(Ref!$Z$16&lt;$E$3,D12,IF(Ref!$Z$16&lt;$F$3,E12,IF(Ref!$Z$16&lt;$G$3,F12,IF(Ref!$Z$16&lt;$H$3,G12,(IF(Ref!$Z$16&lt;$I$3,H12,IF(Ref!$Z$16&lt;$J$3,I12,IF(Ref!$Z$16&lt;$K$3,J12,IF(Ref!$Z$16&lt;$L$3,K12,IF(Ref!$Z$16&lt;$M$3,L12,IF(Ref!$Z$16&lt;$N$3,M12,IF(Ref!$Z$16&lt;$O$3,N12,IF(Ref!$Z$16&lt;$P$3,O12,IF(Ref!$Z$16&lt;$Q$3,P12,IF(Ref!$Z$16&lt;=$Q$3,Q12)))))))))))))))))</f>
        <v>0.21</v>
      </c>
      <c r="S12"/>
      <c r="T12"/>
      <c r="U12"/>
      <c r="V12"/>
      <c r="W12"/>
      <c r="X12"/>
      <c r="Y12"/>
      <c r="Z12"/>
      <c r="AA12"/>
      <c r="AB12"/>
      <c r="AC12"/>
    </row>
    <row r="13" spans="2:29" ht="15" customHeight="1" x14ac:dyDescent="0.25">
      <c r="B13" s="119">
        <v>73</v>
      </c>
      <c r="C13" s="120">
        <f>ROUNDUP('[1]Asuransi Original'!C13*75%,4)</f>
        <v>2.64E-2</v>
      </c>
      <c r="D13" s="120">
        <f>ROUNDUP('[1]Asuransi Original'!D13*75%,4)</f>
        <v>3.27E-2</v>
      </c>
      <c r="E13" s="120">
        <f>ROUNDUP('[1]Asuransi Original'!E13*75%,4)</f>
        <v>0.11849999999999999</v>
      </c>
      <c r="F13" s="120">
        <f>ROUNDUP('[1]Asuransi Original'!F13*75%,4)</f>
        <v>0.1482</v>
      </c>
      <c r="G13" s="120">
        <f>ROUNDUP('[1]Asuransi Original'!G13*75%,4)</f>
        <v>0.16839999999999999</v>
      </c>
      <c r="H13" s="120">
        <f>ROUNDUP('[1]Asuransi Original'!H13*75%,4)</f>
        <v>0.17069999999999999</v>
      </c>
      <c r="I13" s="120">
        <f>ROUNDUP('[1]Asuransi Original'!I13*75%,4)</f>
        <v>0.17519999999999999</v>
      </c>
      <c r="J13" s="120">
        <f>ROUNDUP('[1]Asuransi Original'!J13*75%,4)</f>
        <v>0.1875</v>
      </c>
      <c r="K13" s="120">
        <f>ROUNDUP('[1]Asuransi Original'!K13*75%,4)</f>
        <v>0.19500000000000001</v>
      </c>
      <c r="L13" s="120">
        <f>ROUNDUP('[1]Asuransi Original'!L13*75%,4)</f>
        <v>0.22500000000000001</v>
      </c>
      <c r="M13" s="123">
        <v>0</v>
      </c>
      <c r="N13" s="123">
        <v>0</v>
      </c>
      <c r="O13" s="123">
        <v>0</v>
      </c>
      <c r="P13" s="123">
        <v>0</v>
      </c>
      <c r="Q13" s="123">
        <v>0</v>
      </c>
      <c r="R13" s="121">
        <f>IF(Ref!$Z$16&lt;=$C$3,C13,IF(Ref!$Z$16&lt;$D$3,C13,IF(Ref!$Z$16&lt;$E$3,D13,IF(Ref!$Z$16&lt;$F$3,E13,IF(Ref!$Z$16&lt;$G$3,F13,IF(Ref!$Z$16&lt;$H$3,G13,(IF(Ref!$Z$16&lt;$I$3,H13,IF(Ref!$Z$16&lt;$J$3,I13,IF(Ref!$Z$16&lt;$K$3,J13,IF(Ref!$Z$16&lt;$L$3,K13,IF(Ref!$Z$16&lt;$M$3,L13,IF(Ref!$Z$16&lt;$N$3,M13,IF(Ref!$Z$16&lt;$O$3,N13,IF(Ref!$Z$16&lt;$P$3,O13,IF(Ref!$Z$16&lt;$Q$3,P13,IF(Ref!$Z$16&lt;=$Q$3,Q13)))))))))))))))))</f>
        <v>0.22500000000000001</v>
      </c>
      <c r="S13"/>
      <c r="T13">
        <f ca="1">IF('Simulasi BPR'!I7&lt;=65,65,AA7)</f>
        <v>0</v>
      </c>
      <c r="U13"/>
      <c r="V13"/>
      <c r="W13"/>
      <c r="X13"/>
      <c r="Y13"/>
      <c r="Z13"/>
      <c r="AA13"/>
      <c r="AB13"/>
      <c r="AC13"/>
    </row>
    <row r="14" spans="2:29" ht="15" customHeight="1" x14ac:dyDescent="0.25">
      <c r="B14" s="119">
        <v>74</v>
      </c>
      <c r="C14" s="120">
        <f>ROUNDUP('[1]Asuransi Original'!C14*75%,4)</f>
        <v>2.64E-2</v>
      </c>
      <c r="D14" s="120">
        <f>ROUNDUP('[1]Asuransi Original'!D14*75%,4)</f>
        <v>3.27E-2</v>
      </c>
      <c r="E14" s="120">
        <f>ROUNDUP('[1]Asuransi Original'!E14*75%,4)</f>
        <v>0.1215</v>
      </c>
      <c r="F14" s="120">
        <f>ROUNDUP('[1]Asuransi Original'!F14*75%,4)</f>
        <v>0.1515</v>
      </c>
      <c r="G14" s="120">
        <f>ROUNDUP('[1]Asuransi Original'!G14*75%,4)</f>
        <v>0.16839999999999999</v>
      </c>
      <c r="H14" s="120">
        <f>ROUNDUP('[1]Asuransi Original'!H14*75%,4)</f>
        <v>0.17069999999999999</v>
      </c>
      <c r="I14" s="120">
        <f>ROUNDUP('[1]Asuransi Original'!I14*75%,4)</f>
        <v>0.1875</v>
      </c>
      <c r="J14" s="120">
        <f>ROUNDUP('[1]Asuransi Original'!J14*75%,4)</f>
        <v>0.19500000000000001</v>
      </c>
      <c r="K14" s="120">
        <f>ROUNDUP('[1]Asuransi Original'!K14*75%,4)</f>
        <v>0.21</v>
      </c>
      <c r="L14" s="120">
        <f>ROUNDUP('[1]Asuransi Original'!L14*75%,4)</f>
        <v>0.24</v>
      </c>
      <c r="M14" s="123">
        <v>0</v>
      </c>
      <c r="N14" s="123">
        <v>0</v>
      </c>
      <c r="O14" s="123">
        <v>0</v>
      </c>
      <c r="P14" s="123">
        <v>0</v>
      </c>
      <c r="Q14" s="123">
        <v>0</v>
      </c>
      <c r="R14" s="121">
        <f>IF(Ref!$Z$16&lt;=$C$3,C14,IF(Ref!$Z$16&lt;$D$3,C14,IF(Ref!$Z$16&lt;$E$3,D14,IF(Ref!$Z$16&lt;$F$3,E14,IF(Ref!$Z$16&lt;$G$3,F14,IF(Ref!$Z$16&lt;$H$3,G14,(IF(Ref!$Z$16&lt;$I$3,H14,IF(Ref!$Z$16&lt;$J$3,I14,IF(Ref!$Z$16&lt;$K$3,J14,IF(Ref!$Z$16&lt;$L$3,K14,IF(Ref!$Z$16&lt;$M$3,L14,IF(Ref!$Z$16&lt;$N$3,M14,IF(Ref!$Z$16&lt;$O$3,N14,IF(Ref!$Z$16&lt;$P$3,O14,IF(Ref!$Z$16&lt;$Q$3,P14,IF(Ref!$Z$16&lt;=$Q$3,Q14)))))))))))))))))</f>
        <v>0.24</v>
      </c>
      <c r="S14"/>
      <c r="T14"/>
      <c r="U14"/>
      <c r="V14"/>
      <c r="W14"/>
      <c r="X14"/>
      <c r="Y14"/>
      <c r="Z14"/>
      <c r="AA14"/>
      <c r="AB14"/>
      <c r="AC14"/>
    </row>
    <row r="15" spans="2:29" ht="15" customHeight="1" x14ac:dyDescent="0.25">
      <c r="B15" s="119">
        <v>75</v>
      </c>
      <c r="C15" s="120">
        <f>ROUNDUP('[1]Asuransi Original'!C15*75%,4)</f>
        <v>4.8800000000000003E-2</v>
      </c>
      <c r="D15" s="120">
        <f>ROUNDUP('[1]Asuransi Original'!D15*75%,4)</f>
        <v>7.1999999999999995E-2</v>
      </c>
      <c r="E15" s="120">
        <f>ROUNDUP('[1]Asuransi Original'!E15*75%,4)</f>
        <v>0.12529999999999999</v>
      </c>
      <c r="F15" s="120">
        <f>ROUNDUP('[1]Asuransi Original'!F15*75%,4)</f>
        <v>0.1608</v>
      </c>
      <c r="G15" s="120">
        <f>ROUNDUP('[1]Asuransi Original'!G15*75%,4)</f>
        <v>0.17069999999999999</v>
      </c>
      <c r="H15" s="120">
        <f>ROUNDUP('[1]Asuransi Original'!H15*75%,4)</f>
        <v>0.1875</v>
      </c>
      <c r="I15" s="120">
        <f>ROUNDUP('[1]Asuransi Original'!I15*75%,4)</f>
        <v>0.19500000000000001</v>
      </c>
      <c r="J15" s="120">
        <f>ROUNDUP('[1]Asuransi Original'!J15*75%,4)</f>
        <v>0.21</v>
      </c>
      <c r="K15" s="120">
        <f>ROUNDUP('[1]Asuransi Original'!K15*75%,4)</f>
        <v>0.2175</v>
      </c>
      <c r="L15" s="120">
        <f>ROUNDUP('[1]Asuransi Original'!L15*75%,4)</f>
        <v>0.255</v>
      </c>
      <c r="M15" s="123">
        <v>0</v>
      </c>
      <c r="N15" s="123">
        <v>0</v>
      </c>
      <c r="O15" s="123">
        <v>0</v>
      </c>
      <c r="P15" s="123">
        <v>0</v>
      </c>
      <c r="Q15" s="123">
        <v>0</v>
      </c>
      <c r="R15" s="121">
        <f>IF(Ref!$Z$16&lt;=$C$3,C15,IF(Ref!$Z$16&lt;$D$3,C15,IF(Ref!$Z$16&lt;$E$3,D15,IF(Ref!$Z$16&lt;$F$3,E15,IF(Ref!$Z$16&lt;$G$3,F15,IF(Ref!$Z$16&lt;$H$3,G15,(IF(Ref!$Z$16&lt;$I$3,H15,IF(Ref!$Z$16&lt;$J$3,I15,IF(Ref!$Z$16&lt;$K$3,J15,IF(Ref!$Z$16&lt;$L$3,K15,IF(Ref!$Z$16&lt;$M$3,L15,IF(Ref!$Z$16&lt;$N$3,M15,IF(Ref!$Z$16&lt;$O$3,N15,IF(Ref!$Z$16&lt;$P$3,O15,IF(Ref!$Z$16&lt;$Q$3,P15,IF(Ref!$Z$16&lt;=$Q$3,Q15)))))))))))))))))</f>
        <v>0.255</v>
      </c>
      <c r="S15"/>
      <c r="T15"/>
      <c r="U15"/>
      <c r="V15"/>
      <c r="W15"/>
      <c r="X15"/>
      <c r="Y15"/>
      <c r="Z15"/>
      <c r="AA15"/>
      <c r="AB15"/>
      <c r="AC15"/>
    </row>
    <row r="16" spans="2:29" ht="15" customHeight="1" x14ac:dyDescent="0.25">
      <c r="B16" s="119">
        <v>76</v>
      </c>
      <c r="C16" s="120">
        <f>ROUNDUP('[1]Asuransi Original'!C16*75%,4)</f>
        <v>4.8800000000000003E-2</v>
      </c>
      <c r="D16" s="120">
        <f>ROUNDUP('[1]Asuransi Original'!D16*75%,4)</f>
        <v>8.2500000000000004E-2</v>
      </c>
      <c r="E16" s="120">
        <f>ROUNDUP('[1]Asuransi Original'!E16*75%,4)</f>
        <v>0.12529999999999999</v>
      </c>
      <c r="F16" s="120">
        <f>ROUNDUP('[1]Asuransi Original'!F16*75%,4)</f>
        <v>0.1608</v>
      </c>
      <c r="G16" s="120">
        <f>ROUNDUP('[1]Asuransi Original'!G16*75%,4)</f>
        <v>0.1875</v>
      </c>
      <c r="H16" s="120">
        <f>ROUNDUP('[1]Asuransi Original'!H16*75%,4)</f>
        <v>0.19500000000000001</v>
      </c>
      <c r="I16" s="120">
        <f>ROUNDUP('[1]Asuransi Original'!I16*75%,4)</f>
        <v>0.21</v>
      </c>
      <c r="J16" s="120">
        <f>ROUNDUP('[1]Asuransi Original'!J16*75%,4)</f>
        <v>0.2175</v>
      </c>
      <c r="K16" s="120">
        <f>ROUNDUP('[1]Asuransi Original'!K16*75%,4)</f>
        <v>0.24</v>
      </c>
      <c r="L16" s="123">
        <v>0</v>
      </c>
      <c r="M16" s="123">
        <v>0</v>
      </c>
      <c r="N16" s="123">
        <v>0</v>
      </c>
      <c r="O16" s="123">
        <v>0</v>
      </c>
      <c r="P16" s="123">
        <v>0</v>
      </c>
      <c r="Q16" s="123">
        <v>0</v>
      </c>
      <c r="R16" s="121">
        <f>IF(Ref!$Z$16&lt;=$C$3,C16,IF(Ref!$Z$16&lt;$D$3,C16,IF(Ref!$Z$16&lt;$E$3,D16,IF(Ref!$Z$16&lt;$F$3,E16,IF(Ref!$Z$16&lt;$G$3,F16,IF(Ref!$Z$16&lt;$H$3,G16,(IF(Ref!$Z$16&lt;$I$3,H16,IF(Ref!$Z$16&lt;$J$3,I16,IF(Ref!$Z$16&lt;$K$3,J16,IF(Ref!$Z$16&lt;$L$3,K16,IF(Ref!$Z$16&lt;$M$3,L16,IF(Ref!$Z$16&lt;$N$3,M16,IF(Ref!$Z$16&lt;$O$3,N16,IF(Ref!$Z$16&lt;$P$3,O16,IF(Ref!$Z$16&lt;$Q$3,P16,IF(Ref!$Z$16&lt;=$Q$3,Q16)))))))))))))))))</f>
        <v>0</v>
      </c>
      <c r="S16"/>
      <c r="T16"/>
      <c r="U16"/>
      <c r="V16"/>
      <c r="W16"/>
      <c r="X16"/>
      <c r="Y16"/>
      <c r="Z16"/>
      <c r="AA16"/>
      <c r="AB16"/>
      <c r="AC16"/>
    </row>
    <row r="17" spans="2:29" ht="15" customHeight="1" x14ac:dyDescent="0.25">
      <c r="B17" s="119">
        <v>77</v>
      </c>
      <c r="C17" s="120">
        <f>ROUNDUP('[1]Asuransi Original'!C17*75%,4)</f>
        <v>4.8800000000000003E-2</v>
      </c>
      <c r="D17" s="120">
        <f>ROUNDUP('[1]Asuransi Original'!D17*75%,4)</f>
        <v>8.2500000000000004E-2</v>
      </c>
      <c r="E17" s="120">
        <f>ROUNDUP('[1]Asuransi Original'!E17*75%,4)</f>
        <v>0.12529999999999999</v>
      </c>
      <c r="F17" s="120">
        <f>ROUNDUP('[1]Asuransi Original'!F17*75%,4)</f>
        <v>0.1875</v>
      </c>
      <c r="G17" s="120">
        <f>ROUNDUP('[1]Asuransi Original'!G17*75%,4)</f>
        <v>0.19500000000000001</v>
      </c>
      <c r="H17" s="120">
        <f>ROUNDUP('[1]Asuransi Original'!H17*75%,4)</f>
        <v>0.21</v>
      </c>
      <c r="I17" s="120">
        <f>ROUNDUP('[1]Asuransi Original'!I17*75%,4)</f>
        <v>0.2175</v>
      </c>
      <c r="J17" s="120">
        <f>ROUNDUP('[1]Asuransi Original'!J17*75%,4)</f>
        <v>0.23250000000000001</v>
      </c>
      <c r="K17" s="123">
        <v>0</v>
      </c>
      <c r="L17" s="123">
        <v>0</v>
      </c>
      <c r="M17" s="123">
        <v>0</v>
      </c>
      <c r="N17" s="123">
        <v>0</v>
      </c>
      <c r="O17" s="123">
        <v>0</v>
      </c>
      <c r="P17" s="123">
        <v>0</v>
      </c>
      <c r="Q17" s="123">
        <v>0</v>
      </c>
      <c r="R17" s="121">
        <f>IF(Ref!$Z$16&lt;=$C$3,C17,IF(Ref!$Z$16&lt;$D$3,C17,IF(Ref!$Z$16&lt;$E$3,D17,IF(Ref!$Z$16&lt;$F$3,E17,IF(Ref!$Z$16&lt;$G$3,F17,IF(Ref!$Z$16&lt;$H$3,G17,(IF(Ref!$Z$16&lt;$I$3,H17,IF(Ref!$Z$16&lt;$J$3,I17,IF(Ref!$Z$16&lt;$K$3,J17,IF(Ref!$Z$16&lt;$L$3,K17,IF(Ref!$Z$16&lt;$M$3,L17,IF(Ref!$Z$16&lt;$N$3,M17,IF(Ref!$Z$16&lt;$O$3,N17,IF(Ref!$Z$16&lt;$P$3,O17,IF(Ref!$Z$16&lt;$Q$3,P17,IF(Ref!$Z$16&lt;=$Q$3,Q17)))))))))))))))))</f>
        <v>0</v>
      </c>
      <c r="S17"/>
      <c r="T17"/>
      <c r="U17"/>
      <c r="V17"/>
      <c r="W17"/>
      <c r="X17"/>
      <c r="Y17"/>
      <c r="Z17"/>
      <c r="AA17"/>
      <c r="AB17"/>
      <c r="AC17"/>
    </row>
    <row r="18" spans="2:29" ht="15" customHeight="1" x14ac:dyDescent="0.25">
      <c r="B18" s="119">
        <v>78</v>
      </c>
      <c r="C18" s="120">
        <f>ROUNDUP('[1]Asuransi Original'!C18*75%,4)</f>
        <v>4.8800000000000003E-2</v>
      </c>
      <c r="D18" s="120">
        <f>ROUNDUP('[1]Asuransi Original'!D18*75%,4)</f>
        <v>8.2500000000000004E-2</v>
      </c>
      <c r="E18" s="120">
        <f>ROUNDUP('[1]Asuransi Original'!E18*75%,4)</f>
        <v>0.1875</v>
      </c>
      <c r="F18" s="120">
        <f>ROUNDUP('[1]Asuransi Original'!F18*75%,4)</f>
        <v>0.19500000000000001</v>
      </c>
      <c r="G18" s="120">
        <f>ROUNDUP('[1]Asuransi Original'!G18*75%,4)</f>
        <v>0.21</v>
      </c>
      <c r="H18" s="120">
        <f>ROUNDUP('[1]Asuransi Original'!H18*75%,4)</f>
        <v>0.2175</v>
      </c>
      <c r="I18" s="120">
        <f>ROUNDUP('[1]Asuransi Original'!I18*75%,4)</f>
        <v>0.22500000000000001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  <c r="R18" s="121">
        <f>IF(Ref!$Z$16&lt;=$C$3,C18,IF(Ref!$Z$16&lt;$D$3,C18,IF(Ref!$Z$16&lt;$E$3,D18,IF(Ref!$Z$16&lt;$F$3,E18,IF(Ref!$Z$16&lt;$G$3,F18,IF(Ref!$Z$16&lt;$H$3,G18,(IF(Ref!$Z$16&lt;$I$3,H18,IF(Ref!$Z$16&lt;$J$3,I18,IF(Ref!$Z$16&lt;$K$3,J18,IF(Ref!$Z$16&lt;$L$3,K18,IF(Ref!$Z$16&lt;$M$3,L18,IF(Ref!$Z$16&lt;$N$3,M18,IF(Ref!$Z$16&lt;$O$3,N18,IF(Ref!$Z$16&lt;$P$3,O18,IF(Ref!$Z$16&lt;$Q$3,P18,IF(Ref!$Z$16&lt;=$Q$3,Q18)))))))))))))))))</f>
        <v>0</v>
      </c>
      <c r="S18"/>
      <c r="T18"/>
      <c r="U18"/>
      <c r="V18"/>
      <c r="W18"/>
      <c r="X18"/>
      <c r="Y18"/>
      <c r="Z18"/>
      <c r="AA18"/>
      <c r="AB18"/>
      <c r="AC18"/>
    </row>
    <row r="19" spans="2:29" ht="15" customHeight="1" x14ac:dyDescent="0.25">
      <c r="B19" s="119">
        <v>79</v>
      </c>
      <c r="C19" s="120">
        <f>ROUNDUP('[1]Asuransi Original'!C19*75%,4)</f>
        <v>4.8800000000000003E-2</v>
      </c>
      <c r="D19" s="120">
        <f>ROUNDUP('[1]Asuransi Original'!D19*75%,4)</f>
        <v>0.105</v>
      </c>
      <c r="E19" s="120">
        <f>ROUNDUP('[1]Asuransi Original'!E19*75%,4)</f>
        <v>0.19500000000000001</v>
      </c>
      <c r="F19" s="120">
        <f>ROUNDUP('[1]Asuransi Original'!F19*75%,4)</f>
        <v>0.21</v>
      </c>
      <c r="G19" s="120">
        <f>ROUNDUP('[1]Asuransi Original'!G19*75%,4)</f>
        <v>0.2175</v>
      </c>
      <c r="H19" s="120">
        <f>ROUNDUP('[1]Asuransi Original'!H19*75%,4)</f>
        <v>0.22500000000000001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1">
        <f>IF(Ref!$Z$16&lt;=$C$3,C19,IF(Ref!$Z$16&lt;$D$3,C19,IF(Ref!$Z$16&lt;$E$3,D19,IF(Ref!$Z$16&lt;$F$3,E19,IF(Ref!$Z$16&lt;$G$3,F19,IF(Ref!$Z$16&lt;$H$3,G19,(IF(Ref!$Z$16&lt;$I$3,H19,IF(Ref!$Z$16&lt;$J$3,I19,IF(Ref!$Z$16&lt;$K$3,J19,IF(Ref!$Z$16&lt;$L$3,K19,IF(Ref!$Z$16&lt;$M$3,L19,IF(Ref!$Z$16&lt;$N$3,M19,IF(Ref!$Z$16&lt;$O$3,N19,IF(Ref!$Z$16&lt;$P$3,O19,IF(Ref!$Z$16&lt;$Q$3,P19,IF(Ref!$Z$16&lt;=$Q$3,Q19)))))))))))))))))</f>
        <v>0</v>
      </c>
      <c r="S19"/>
      <c r="T19"/>
      <c r="U19"/>
      <c r="V19"/>
      <c r="W19"/>
      <c r="X19"/>
      <c r="Y19"/>
      <c r="Z19"/>
      <c r="AA19"/>
      <c r="AB19"/>
      <c r="AC19"/>
    </row>
    <row r="20" spans="2:29" ht="15" customHeight="1" x14ac:dyDescent="0.25">
      <c r="B20" s="119">
        <v>80</v>
      </c>
      <c r="C20" s="120">
        <f>ROUNDUP('[1]Asuransi Original'!C20*75%,4)</f>
        <v>8.0299999999999996E-2</v>
      </c>
      <c r="D20" s="120">
        <f>ROUNDUP('[1]Asuransi Original'!D20*75%,4)</f>
        <v>0.12</v>
      </c>
      <c r="E20" s="120">
        <f>ROUNDUP('[1]Asuransi Original'!E20*75%,4)</f>
        <v>0.21</v>
      </c>
      <c r="F20" s="120">
        <f>ROUNDUP('[1]Asuransi Original'!F20*75%,4)</f>
        <v>0.2175</v>
      </c>
      <c r="G20" s="120">
        <f>ROUNDUP('[1]Asuransi Original'!G20*75%,4)</f>
        <v>0.22500000000000001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  <c r="N20" s="123">
        <v>0</v>
      </c>
      <c r="O20" s="123">
        <v>0</v>
      </c>
      <c r="P20" s="123">
        <v>0</v>
      </c>
      <c r="Q20" s="123">
        <v>0</v>
      </c>
      <c r="R20" s="121">
        <f>IF(Ref!$Z$16&lt;=$C$3,C20,IF(Ref!$Z$16&lt;$D$3,C20,IF(Ref!$Z$16&lt;$E$3,D20,IF(Ref!$Z$16&lt;$F$3,E20,IF(Ref!$Z$16&lt;$G$3,F20,IF(Ref!$Z$16&lt;$H$3,G20,(IF(Ref!$Z$16&lt;$I$3,H20,IF(Ref!$Z$16&lt;$J$3,I20,IF(Ref!$Z$16&lt;$K$3,J20,IF(Ref!$Z$16&lt;$L$3,K20,IF(Ref!$Z$16&lt;$M$3,L20,IF(Ref!$Z$16&lt;$N$3,M20,IF(Ref!$Z$16&lt;$O$3,N20,IF(Ref!$Z$16&lt;$P$3,O20,IF(Ref!$Z$16&lt;$Q$3,P20,IF(Ref!$Z$16&lt;=$Q$3,Q20)))))))))))))))))</f>
        <v>0</v>
      </c>
      <c r="S20"/>
      <c r="T20"/>
      <c r="U20"/>
      <c r="V20"/>
      <c r="W20"/>
      <c r="X20"/>
      <c r="Y20"/>
      <c r="Z20"/>
      <c r="AA20"/>
      <c r="AB20"/>
      <c r="AC20"/>
    </row>
    <row r="21" spans="2:29" ht="15" customHeight="1" x14ac:dyDescent="0.25">
      <c r="B21" s="119">
        <v>81</v>
      </c>
      <c r="C21" s="120">
        <f>ROUNDUP('[1]Asuransi Original'!C21*75%,4)</f>
        <v>9.2700000000000005E-2</v>
      </c>
      <c r="D21" s="120">
        <f>ROUNDUP('[1]Asuransi Original'!D21*75%,4)</f>
        <v>0.13500000000000001</v>
      </c>
      <c r="E21" s="120">
        <f>ROUNDUP('[1]Asuransi Original'!E21*75%,4)</f>
        <v>0.2175</v>
      </c>
      <c r="F21" s="120">
        <f>ROUNDUP('[1]Asuransi Original'!F21*75%,4)</f>
        <v>0.22500000000000001</v>
      </c>
      <c r="G21" s="123">
        <v>0</v>
      </c>
      <c r="H21" s="123">
        <v>0</v>
      </c>
      <c r="I21" s="123">
        <v>0</v>
      </c>
      <c r="J21" s="123">
        <v>0</v>
      </c>
      <c r="K21" s="123">
        <v>0</v>
      </c>
      <c r="L21" s="123">
        <v>0</v>
      </c>
      <c r="M21" s="123">
        <v>0</v>
      </c>
      <c r="N21" s="123">
        <v>0</v>
      </c>
      <c r="O21" s="123">
        <v>0</v>
      </c>
      <c r="P21" s="123">
        <v>0</v>
      </c>
      <c r="Q21" s="123">
        <v>0</v>
      </c>
      <c r="R21" s="121">
        <f>IF(Ref!$Z$16&lt;=$C$3,C21,IF(Ref!$Z$16&lt;$D$3,C21,IF(Ref!$Z$16&lt;$E$3,D21,IF(Ref!$Z$16&lt;$F$3,E21,IF(Ref!$Z$16&lt;$G$3,F21,IF(Ref!$Z$16&lt;$H$3,G21,(IF(Ref!$Z$16&lt;$I$3,H21,IF(Ref!$Z$16&lt;$J$3,I21,IF(Ref!$Z$16&lt;$K$3,J21,IF(Ref!$Z$16&lt;$L$3,K21,IF(Ref!$Z$16&lt;$M$3,L21,IF(Ref!$Z$16&lt;$N$3,M21,IF(Ref!$Z$16&lt;$O$3,N21,IF(Ref!$Z$16&lt;$P$3,O21,IF(Ref!$Z$16&lt;$Q$3,P21,IF(Ref!$Z$16&lt;=$Q$3,Q21)))))))))))))))))</f>
        <v>0</v>
      </c>
      <c r="S21"/>
      <c r="T21"/>
      <c r="U21"/>
      <c r="V21"/>
      <c r="W21"/>
      <c r="X21"/>
      <c r="Y21"/>
      <c r="Z21"/>
      <c r="AA21"/>
      <c r="AB21"/>
      <c r="AC21"/>
    </row>
    <row r="22" spans="2:29" ht="15" customHeight="1" x14ac:dyDescent="0.25">
      <c r="B22" s="119">
        <v>82</v>
      </c>
      <c r="C22" s="120">
        <f>ROUNDUP('[1]Asuransi Original'!C22*75%,4)</f>
        <v>0.11070000000000001</v>
      </c>
      <c r="D22" s="120">
        <f>ROUNDUP('[1]Asuransi Original'!D22*75%,4)</f>
        <v>0.16500000000000001</v>
      </c>
      <c r="E22" s="120">
        <f>ROUNDUP('[1]Asuransi Original'!E22*75%,4)</f>
        <v>0.22500000000000001</v>
      </c>
      <c r="F22" s="123">
        <v>0</v>
      </c>
      <c r="G22" s="123">
        <v>0</v>
      </c>
      <c r="H22" s="123">
        <v>0</v>
      </c>
      <c r="I22" s="123">
        <v>0</v>
      </c>
      <c r="J22" s="123">
        <v>0</v>
      </c>
      <c r="K22" s="123">
        <v>0</v>
      </c>
      <c r="L22" s="123">
        <v>0</v>
      </c>
      <c r="M22" s="123">
        <v>0</v>
      </c>
      <c r="N22" s="123">
        <v>0</v>
      </c>
      <c r="O22" s="123">
        <v>0</v>
      </c>
      <c r="P22" s="123">
        <v>0</v>
      </c>
      <c r="Q22" s="123">
        <v>0</v>
      </c>
      <c r="R22" s="121">
        <f>IF(Ref!$Z$16&lt;=$C$3,C22,IF(Ref!$Z$16&lt;$D$3,C22,IF(Ref!$Z$16&lt;$E$3,D22,IF(Ref!$Z$16&lt;$F$3,E22,IF(Ref!$Z$16&lt;$G$3,F22,IF(Ref!$Z$16&lt;$H$3,G22,(IF(Ref!$Z$16&lt;$I$3,H22,IF(Ref!$Z$16&lt;$J$3,I22,IF(Ref!$Z$16&lt;$K$3,J22,IF(Ref!$Z$16&lt;$L$3,K22,IF(Ref!$Z$16&lt;$M$3,L22,IF(Ref!$Z$16&lt;$N$3,M22,IF(Ref!$Z$16&lt;$O$3,N22,IF(Ref!$Z$16&lt;$P$3,O22,IF(Ref!$Z$16&lt;$Q$3,P22,IF(Ref!$Z$16&lt;=$Q$3,Q22)))))))))))))))))</f>
        <v>0</v>
      </c>
      <c r="S22"/>
      <c r="T22"/>
      <c r="U22"/>
      <c r="V22"/>
      <c r="W22"/>
      <c r="X22"/>
      <c r="Y22"/>
      <c r="Z22"/>
      <c r="AA22"/>
      <c r="AB22"/>
      <c r="AC22"/>
    </row>
    <row r="23" spans="2:29" ht="15" customHeight="1" x14ac:dyDescent="0.25">
      <c r="B23" s="119">
        <v>83</v>
      </c>
      <c r="C23" s="120">
        <f>ROUNDUP('[1]Asuransi Original'!C23*75%,4)</f>
        <v>0.12529999999999999</v>
      </c>
      <c r="D23" s="120">
        <f>ROUNDUP('[1]Asuransi Original'!D23*75%,4)</f>
        <v>0.18</v>
      </c>
      <c r="E23" s="123">
        <v>0</v>
      </c>
      <c r="F23" s="123">
        <v>0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23">
        <v>0</v>
      </c>
      <c r="O23" s="123">
        <v>0</v>
      </c>
      <c r="P23" s="123">
        <v>0</v>
      </c>
      <c r="Q23" s="123">
        <v>0</v>
      </c>
      <c r="R23" s="121">
        <f>IF(Ref!$Z$16&lt;=$C$3,C23,IF(Ref!$Z$16&lt;$D$3,C23,IF(Ref!$Z$16&lt;$E$3,D23,IF(Ref!$Z$16&lt;$F$3,E23,IF(Ref!$Z$16&lt;$G$3,F23,IF(Ref!$Z$16&lt;$H$3,G23,(IF(Ref!$Z$16&lt;$I$3,H23,IF(Ref!$Z$16&lt;$J$3,I23,IF(Ref!$Z$16&lt;$K$3,J23,IF(Ref!$Z$16&lt;$L$3,K23,IF(Ref!$Z$16&lt;$M$3,L23,IF(Ref!$Z$16&lt;$N$3,M23,IF(Ref!$Z$16&lt;$O$3,N23,IF(Ref!$Z$16&lt;$P$3,O23,IF(Ref!$Z$16&lt;$Q$3,P23,IF(Ref!$Z$16&lt;=$Q$3,Q23)))))))))))))))))</f>
        <v>0</v>
      </c>
      <c r="S23"/>
      <c r="T23"/>
      <c r="U23"/>
      <c r="V23"/>
      <c r="W23"/>
      <c r="X23"/>
      <c r="Y23"/>
      <c r="Z23"/>
      <c r="AA23"/>
      <c r="AB23"/>
      <c r="AC23"/>
    </row>
    <row r="24" spans="2:29" ht="15" customHeight="1" x14ac:dyDescent="0.25">
      <c r="B24" s="119">
        <v>84</v>
      </c>
      <c r="C24" s="120">
        <f>ROUNDUP('[1]Asuransi Original'!C24*75%,4)</f>
        <v>0.13689999999999999</v>
      </c>
      <c r="D24" s="123">
        <v>0</v>
      </c>
      <c r="E24" s="123">
        <v>0</v>
      </c>
      <c r="F24" s="123">
        <v>0</v>
      </c>
      <c r="G24" s="123">
        <v>0</v>
      </c>
      <c r="H24" s="123">
        <v>0</v>
      </c>
      <c r="I24" s="123">
        <v>0</v>
      </c>
      <c r="J24" s="123">
        <v>0</v>
      </c>
      <c r="K24" s="123">
        <v>0</v>
      </c>
      <c r="L24" s="123">
        <v>0</v>
      </c>
      <c r="M24" s="123">
        <v>0</v>
      </c>
      <c r="N24" s="123">
        <v>0</v>
      </c>
      <c r="O24" s="123">
        <v>0</v>
      </c>
      <c r="P24" s="123">
        <v>0</v>
      </c>
      <c r="Q24" s="123">
        <v>0</v>
      </c>
      <c r="R24" s="121">
        <f>IF(Ref!$Z$16&lt;=$C$3,C24,IF(Ref!$Z$16&lt;$D$3,C24,IF(Ref!$Z$16&lt;$E$3,D24,IF(Ref!$Z$16&lt;$F$3,E24,IF(Ref!$Z$16&lt;$G$3,F24,IF(Ref!$Z$16&lt;$H$3,G24,(IF(Ref!$Z$16&lt;$I$3,H24,IF(Ref!$Z$16&lt;$J$3,I24,IF(Ref!$Z$16&lt;$K$3,J24,IF(Ref!$Z$16&lt;$L$3,K24,IF(Ref!$Z$16&lt;$M$3,L24,IF(Ref!$Z$16&lt;$N$3,M24,IF(Ref!$Z$16&lt;$O$3,N24,IF(Ref!$Z$16&lt;$P$3,O24,IF(Ref!$Z$16&lt;$Q$3,P24,IF(Ref!$Z$16&lt;=$Q$3,Q24)))))))))))))))))</f>
        <v>0</v>
      </c>
      <c r="S24"/>
      <c r="T24"/>
      <c r="U24"/>
      <c r="V24"/>
      <c r="W24"/>
      <c r="X24"/>
      <c r="Y24"/>
      <c r="Z24"/>
      <c r="AA24"/>
      <c r="AB24"/>
      <c r="AC24"/>
    </row>
    <row r="26" spans="2:29" s="103" customFormat="1" ht="15" customHeight="1" x14ac:dyDescent="0.25">
      <c r="B26" s="104" t="s">
        <v>44</v>
      </c>
      <c r="C26" s="105"/>
      <c r="D26" s="106"/>
      <c r="E26" s="106"/>
      <c r="F26" s="106"/>
      <c r="G26" s="106"/>
      <c r="H26" s="106"/>
      <c r="I26" s="106"/>
      <c r="J26" s="107" t="s">
        <v>34</v>
      </c>
      <c r="K26" s="106"/>
      <c r="L26" s="106"/>
      <c r="M26" s="106"/>
      <c r="N26" s="106"/>
      <c r="O26" s="106"/>
      <c r="P26" s="106"/>
      <c r="Q26" s="108"/>
      <c r="R26" s="109"/>
    </row>
    <row r="27" spans="2:29" s="103" customFormat="1" ht="15" customHeight="1" x14ac:dyDescent="0.25">
      <c r="B27" s="110" t="s">
        <v>45</v>
      </c>
      <c r="C27" s="111">
        <v>1</v>
      </c>
      <c r="D27" s="112">
        <v>2</v>
      </c>
      <c r="E27" s="112">
        <v>3</v>
      </c>
      <c r="F27" s="112">
        <v>4</v>
      </c>
      <c r="G27" s="112">
        <v>5</v>
      </c>
      <c r="H27" s="112">
        <v>6</v>
      </c>
      <c r="I27" s="112">
        <v>7</v>
      </c>
      <c r="J27" s="112">
        <v>8</v>
      </c>
      <c r="K27" s="111">
        <v>9</v>
      </c>
      <c r="L27" s="112">
        <v>10</v>
      </c>
      <c r="M27" s="112">
        <v>11</v>
      </c>
      <c r="N27" s="112">
        <v>12</v>
      </c>
      <c r="O27" s="111">
        <v>13</v>
      </c>
      <c r="P27" s="112">
        <v>14</v>
      </c>
      <c r="Q27" s="112">
        <v>15</v>
      </c>
      <c r="R27" s="109">
        <f ca="1">IF(Ref!$Z$4&lt;=B29,R29,IF(Ref!$Z$4=B30,R30,IF(Ref!$Z$4=B31,R31,IF(Ref!$Z$4=B32,R32,IF(Ref!$Z$4=B33,R33,IF(Ref!$Z$4=B34,R34,IF(Ref!$Z$4=B35,R35,IF(Ref!$Z$4=B36,R36,IF(Ref!$Z$4=B37,R37,IF(Ref!$Z$4=B38,R38,IF(Ref!$Z$4=B39,R39,IF(Ref!$Z$4=B40,R40,IF(Ref!$Z$4=B41,R41,IF(Ref!$Z$4=B42,R42,IF(Ref!$Z$4=B43,R43,IF(Ref!$Z$4=B44,R44,IF(Ref!$Z$4=B45,R45,IF(Ref!$Z$4=B46,R46,IF(Ref!$Z$4=B47,R47,IF(Ref!$Z$4=B48,R48,IF(Ref!$Z$4&lt;80,R48)))))))))))))))))))))</f>
        <v>0.26500000000000001</v>
      </c>
      <c r="T27" s="113">
        <v>12</v>
      </c>
      <c r="U27" s="114">
        <v>24</v>
      </c>
      <c r="V27" s="114">
        <v>36</v>
      </c>
      <c r="W27" s="114">
        <v>48</v>
      </c>
      <c r="X27" s="114">
        <v>60</v>
      </c>
      <c r="Y27" s="114">
        <v>72</v>
      </c>
      <c r="Z27" s="114">
        <v>84</v>
      </c>
      <c r="AA27" s="114">
        <v>96</v>
      </c>
      <c r="AB27" s="114">
        <v>108</v>
      </c>
      <c r="AC27" s="114">
        <v>120</v>
      </c>
    </row>
    <row r="28" spans="2:29" s="103" customFormat="1" ht="5.0999999999999996" customHeight="1" x14ac:dyDescent="0.25">
      <c r="B28" s="115"/>
      <c r="C28" s="116"/>
      <c r="D28" s="116"/>
      <c r="E28" s="116"/>
      <c r="F28" s="116"/>
      <c r="G28" s="116"/>
      <c r="H28" s="116"/>
      <c r="I28" s="117"/>
      <c r="J28" s="117"/>
      <c r="K28" s="117"/>
      <c r="L28" s="117"/>
      <c r="M28" s="116"/>
      <c r="N28" s="117"/>
      <c r="O28" s="117"/>
      <c r="P28" s="117"/>
      <c r="Q28" s="117"/>
      <c r="R28" s="118"/>
    </row>
    <row r="29" spans="2:29" ht="15" customHeight="1" x14ac:dyDescent="0.25">
      <c r="B29" s="119">
        <v>65</v>
      </c>
      <c r="C29" s="120">
        <f>C5+1%</f>
        <v>1.49E-2</v>
      </c>
      <c r="D29" s="120">
        <f t="shared" ref="D29:Q33" si="0">D5+1%</f>
        <v>1.9799999999999998E-2</v>
      </c>
      <c r="E29" s="120">
        <f t="shared" si="0"/>
        <v>2.47E-2</v>
      </c>
      <c r="F29" s="120">
        <f t="shared" si="0"/>
        <v>2.9499999999999998E-2</v>
      </c>
      <c r="G29" s="120">
        <f t="shared" si="0"/>
        <v>3.44E-2</v>
      </c>
      <c r="H29" s="120">
        <f t="shared" si="0"/>
        <v>6.0800000000000007E-2</v>
      </c>
      <c r="I29" s="120">
        <f t="shared" si="0"/>
        <v>7.1499999999999994E-2</v>
      </c>
      <c r="J29" s="120">
        <f t="shared" si="0"/>
        <v>8.43E-2</v>
      </c>
      <c r="K29" s="120">
        <f t="shared" si="0"/>
        <v>8.9899999999999994E-2</v>
      </c>
      <c r="L29" s="120">
        <f t="shared" si="0"/>
        <v>0.1023</v>
      </c>
      <c r="M29" s="120">
        <f t="shared" si="0"/>
        <v>0.1762</v>
      </c>
      <c r="N29" s="120">
        <f t="shared" si="0"/>
        <v>0.18590000000000001</v>
      </c>
      <c r="O29" s="120">
        <f t="shared" si="0"/>
        <v>0.1938</v>
      </c>
      <c r="P29" s="120">
        <f t="shared" si="0"/>
        <v>0.19900000000000001</v>
      </c>
      <c r="Q29" s="120">
        <f t="shared" si="0"/>
        <v>0.20199999999999999</v>
      </c>
      <c r="R29" s="121">
        <f>IF(Ref!$Z$16&lt;=$C$3,C29,IF(Ref!$Z$16&lt;$D$3,C29,IF(Ref!$Z$16&lt;$E$3,D29,IF(Ref!$Z$16&lt;$F$3,E29,IF(Ref!$Z$16&lt;$G$3,F29,IF(Ref!$Z$16&lt;$H$3,G29,(IF(Ref!$Z$16&lt;$I$3,H29,IF(Ref!$Z$16&lt;$J$3,I29,IF(Ref!$Z$16&lt;$K$3,J29,IF(Ref!$Z$16&lt;$L$3,K29,IF(Ref!$Z$16&lt;$M$3,L29,IF(Ref!$Z$16&lt;$N$3,M29,IF(Ref!$Z$16&lt;$O$3,N29,IF(Ref!$Z$16&lt;$P$3,O29,IF(Ref!$Z$16&lt;$Q$3,P29,IF(Ref!$Z$16&lt;=$Q$3,Q29)))))))))))))))))</f>
        <v>0.1023</v>
      </c>
      <c r="S29" t="s">
        <v>64</v>
      </c>
      <c r="T29" s="122">
        <v>6.0690000000000001E-2</v>
      </c>
      <c r="U29" s="122">
        <v>9.1359999999999997E-2</v>
      </c>
      <c r="V29" s="122">
        <v>0.12993000000000002</v>
      </c>
      <c r="W29" s="122">
        <v>0.16078999999999999</v>
      </c>
      <c r="X29" s="122">
        <v>0.19356999999999999</v>
      </c>
      <c r="Y29" s="122">
        <v>0.22025</v>
      </c>
      <c r="Z29" s="122">
        <v>0.24371000000000001</v>
      </c>
      <c r="AA29" s="122">
        <v>0.26685999999999999</v>
      </c>
      <c r="AB29" s="122">
        <v>0.28806999999999999</v>
      </c>
      <c r="AC29" s="122">
        <v>0.29931999999999997</v>
      </c>
    </row>
    <row r="30" spans="2:29" ht="15" customHeight="1" x14ac:dyDescent="0.25">
      <c r="B30" s="119">
        <v>66</v>
      </c>
      <c r="C30" s="120">
        <f>C6+1%</f>
        <v>1.49E-2</v>
      </c>
      <c r="D30" s="120">
        <f t="shared" si="0"/>
        <v>1.9799999999999998E-2</v>
      </c>
      <c r="E30" s="120">
        <f t="shared" si="0"/>
        <v>2.47E-2</v>
      </c>
      <c r="F30" s="120">
        <f t="shared" si="0"/>
        <v>2.9499999999999998E-2</v>
      </c>
      <c r="G30" s="120">
        <f t="shared" si="0"/>
        <v>5.5900000000000005E-2</v>
      </c>
      <c r="H30" s="120">
        <f t="shared" si="0"/>
        <v>6.6699999999999995E-2</v>
      </c>
      <c r="I30" s="120">
        <f t="shared" si="0"/>
        <v>7.9399999999999998E-2</v>
      </c>
      <c r="J30" s="120">
        <f t="shared" si="0"/>
        <v>8.4999999999999992E-2</v>
      </c>
      <c r="K30" s="120">
        <f t="shared" si="0"/>
        <v>9.74E-2</v>
      </c>
      <c r="L30" s="120">
        <f t="shared" si="0"/>
        <v>0.1762</v>
      </c>
      <c r="M30" s="120">
        <f t="shared" si="0"/>
        <v>0.18740000000000001</v>
      </c>
      <c r="N30" s="120">
        <f t="shared" si="0"/>
        <v>0.1938</v>
      </c>
      <c r="O30" s="120">
        <f t="shared" si="0"/>
        <v>0.1938</v>
      </c>
      <c r="P30" s="120">
        <f t="shared" si="0"/>
        <v>0.20019999999999999</v>
      </c>
      <c r="Q30" s="123">
        <v>0</v>
      </c>
      <c r="R30" s="121">
        <f>IF(Ref!$Z$16&lt;=$C$3,C30,IF(Ref!$Z$16&lt;$D$3,C30,IF(Ref!$Z$16&lt;$E$3,D30,IF(Ref!$Z$16&lt;$F$3,E30,IF(Ref!$Z$16&lt;$G$3,F30,IF(Ref!$Z$16&lt;$H$3,G30,(IF(Ref!$Z$16&lt;$I$3,H30,IF(Ref!$Z$16&lt;$J$3,I30,IF(Ref!$Z$16&lt;$K$3,J30,IF(Ref!$Z$16&lt;$L$3,K30,IF(Ref!$Z$16&lt;$M$3,L30,IF(Ref!$Z$16&lt;$N$3,M30,IF(Ref!$Z$16&lt;$O$3,N30,IF(Ref!$Z$16&lt;$P$3,O30,IF(Ref!$Z$16&lt;$Q$3,P30,IF(Ref!$Z$16&lt;=$Q$3,Q30)))))))))))))))))</f>
        <v>0.1762</v>
      </c>
      <c r="S30"/>
      <c r="T30" s="122">
        <v>6.5000000000000002E-2</v>
      </c>
      <c r="U30" s="122">
        <v>0.11</v>
      </c>
      <c r="V30" s="122">
        <v>0.15178999999999998</v>
      </c>
      <c r="W30" s="122">
        <v>0.19500000000000001</v>
      </c>
      <c r="X30" s="122">
        <v>0.23921000000000001</v>
      </c>
      <c r="Y30" s="122">
        <v>0</v>
      </c>
      <c r="Z30" s="122">
        <v>0</v>
      </c>
      <c r="AA30" s="122">
        <v>0</v>
      </c>
      <c r="AB30" s="122">
        <v>0</v>
      </c>
      <c r="AC30" s="122">
        <v>0</v>
      </c>
    </row>
    <row r="31" spans="2:29" ht="15" customHeight="1" x14ac:dyDescent="0.25">
      <c r="B31" s="119">
        <v>67</v>
      </c>
      <c r="C31" s="120">
        <f>C7+1%</f>
        <v>1.49E-2</v>
      </c>
      <c r="D31" s="120">
        <f t="shared" si="0"/>
        <v>1.9799999999999998E-2</v>
      </c>
      <c r="E31" s="120">
        <f t="shared" si="0"/>
        <v>2.47E-2</v>
      </c>
      <c r="F31" s="120">
        <f t="shared" si="0"/>
        <v>5.1100000000000007E-2</v>
      </c>
      <c r="G31" s="120">
        <f t="shared" si="0"/>
        <v>6.1800000000000008E-2</v>
      </c>
      <c r="H31" s="120">
        <f t="shared" si="0"/>
        <v>7.4499999999999997E-2</v>
      </c>
      <c r="I31" s="120">
        <f t="shared" si="0"/>
        <v>8.0199999999999994E-2</v>
      </c>
      <c r="J31" s="120">
        <f t="shared" si="0"/>
        <v>9.2499999999999999E-2</v>
      </c>
      <c r="K31" s="120">
        <f t="shared" si="0"/>
        <v>0.1799</v>
      </c>
      <c r="L31" s="120">
        <f t="shared" si="0"/>
        <v>0.1837</v>
      </c>
      <c r="M31" s="120">
        <f t="shared" si="0"/>
        <v>0.18740000000000001</v>
      </c>
      <c r="N31" s="120">
        <f t="shared" si="0"/>
        <v>0.1938</v>
      </c>
      <c r="O31" s="120">
        <f t="shared" si="0"/>
        <v>0.19120000000000001</v>
      </c>
      <c r="P31" s="123">
        <v>0</v>
      </c>
      <c r="Q31" s="123">
        <v>0</v>
      </c>
      <c r="R31" s="121">
        <f>IF(Ref!$Z$16&lt;=$C$3,C31,IF(Ref!$Z$16&lt;$D$3,C31,IF(Ref!$Z$16&lt;$E$3,D31,IF(Ref!$Z$16&lt;$F$3,E31,IF(Ref!$Z$16&lt;$G$3,F31,IF(Ref!$Z$16&lt;$H$3,G31,(IF(Ref!$Z$16&lt;$I$3,H31,IF(Ref!$Z$16&lt;$J$3,I31,IF(Ref!$Z$16&lt;$K$3,J31,IF(Ref!$Z$16&lt;$L$3,K31,IF(Ref!$Z$16&lt;$M$3,L31,IF(Ref!$Z$16&lt;$N$3,M31,IF(Ref!$Z$16&lt;$O$3,N31,IF(Ref!$Z$16&lt;$P$3,O31,IF(Ref!$Z$16&lt;$Q$3,P31,IF(Ref!$Z$16&lt;=$Q$3,Q31)))))))))))))))))</f>
        <v>0.1837</v>
      </c>
      <c r="S31"/>
      <c r="T31" t="s">
        <v>65</v>
      </c>
      <c r="U31" t="s">
        <v>66</v>
      </c>
      <c r="V31" t="s">
        <v>67</v>
      </c>
      <c r="W31" t="s">
        <v>68</v>
      </c>
      <c r="X31" t="s">
        <v>69</v>
      </c>
      <c r="Y31"/>
      <c r="Z31"/>
      <c r="AA31"/>
      <c r="AB31"/>
      <c r="AC31"/>
    </row>
    <row r="32" spans="2:29" ht="15" customHeight="1" x14ac:dyDescent="0.25">
      <c r="B32" s="119">
        <v>68</v>
      </c>
      <c r="C32" s="120">
        <f>C8+1%</f>
        <v>1.49E-2</v>
      </c>
      <c r="D32" s="120">
        <f t="shared" si="0"/>
        <v>1.9799999999999998E-2</v>
      </c>
      <c r="E32" s="120">
        <f t="shared" si="0"/>
        <v>4.6200000000000005E-2</v>
      </c>
      <c r="F32" s="120">
        <f t="shared" si="0"/>
        <v>5.6900000000000006E-2</v>
      </c>
      <c r="G32" s="120">
        <f t="shared" si="0"/>
        <v>6.9699999999999998E-2</v>
      </c>
      <c r="H32" s="120">
        <f t="shared" si="0"/>
        <v>7.5299999999999992E-2</v>
      </c>
      <c r="I32" s="120">
        <f t="shared" si="0"/>
        <v>8.77E-2</v>
      </c>
      <c r="J32" s="120">
        <f t="shared" si="0"/>
        <v>0.1762</v>
      </c>
      <c r="K32" s="120">
        <f t="shared" si="0"/>
        <v>0.18140000000000001</v>
      </c>
      <c r="L32" s="120">
        <f t="shared" si="0"/>
        <v>0.18740000000000001</v>
      </c>
      <c r="M32" s="120">
        <f t="shared" si="0"/>
        <v>0.19489999999999999</v>
      </c>
      <c r="N32" s="120">
        <f t="shared" si="0"/>
        <v>0.19869999999999999</v>
      </c>
      <c r="O32" s="123">
        <v>0</v>
      </c>
      <c r="P32" s="123">
        <v>0</v>
      </c>
      <c r="Q32" s="123">
        <v>0</v>
      </c>
      <c r="R32" s="121">
        <f>IF(Ref!$Z$16&lt;=$C$3,C32,IF(Ref!$Z$16&lt;$D$3,C32,IF(Ref!$Z$16&lt;$E$3,D32,IF(Ref!$Z$16&lt;$F$3,E32,IF(Ref!$Z$16&lt;$G$3,F32,IF(Ref!$Z$16&lt;$H$3,G32,(IF(Ref!$Z$16&lt;$I$3,H32,IF(Ref!$Z$16&lt;$J$3,I32,IF(Ref!$Z$16&lt;$K$3,J32,IF(Ref!$Z$16&lt;$L$3,K32,IF(Ref!$Z$16&lt;$M$3,L32,IF(Ref!$Z$16&lt;$N$3,M32,IF(Ref!$Z$16&lt;$O$3,N32,IF(Ref!$Z$16&lt;$P$3,O32,IF(Ref!$Z$16&lt;$Q$3,P32,IF(Ref!$Z$16&lt;=$Q$3,Q32)))))))))))))))))</f>
        <v>0.18740000000000001</v>
      </c>
      <c r="S32" s="124"/>
      <c r="T32" s="124"/>
      <c r="U32" s="124"/>
      <c r="V32"/>
      <c r="W32"/>
      <c r="X32"/>
      <c r="Y32"/>
      <c r="Z32"/>
      <c r="AA32"/>
      <c r="AB32"/>
      <c r="AC32"/>
    </row>
    <row r="33" spans="2:29" ht="15" customHeight="1" x14ac:dyDescent="0.25">
      <c r="B33" s="119">
        <v>69</v>
      </c>
      <c r="C33" s="120">
        <f>C9+1%</f>
        <v>1.49E-2</v>
      </c>
      <c r="D33" s="120">
        <f t="shared" si="0"/>
        <v>4.1300000000000003E-2</v>
      </c>
      <c r="E33" s="120">
        <f t="shared" si="0"/>
        <v>5.2000000000000005E-2</v>
      </c>
      <c r="F33" s="120">
        <f t="shared" si="0"/>
        <v>6.4799999999999996E-2</v>
      </c>
      <c r="G33" s="120">
        <f t="shared" si="0"/>
        <v>7.0400000000000004E-2</v>
      </c>
      <c r="H33" s="120">
        <f t="shared" si="0"/>
        <v>8.2799999999999999E-2</v>
      </c>
      <c r="I33" s="120">
        <f t="shared" si="0"/>
        <v>0.1792</v>
      </c>
      <c r="J33" s="120">
        <f t="shared" si="0"/>
        <v>0.1837</v>
      </c>
      <c r="K33" s="120">
        <f t="shared" si="0"/>
        <v>0.1837</v>
      </c>
      <c r="L33" s="120">
        <f t="shared" si="0"/>
        <v>0.19120000000000001</v>
      </c>
      <c r="M33" s="120">
        <f t="shared" si="0"/>
        <v>0.19639999999999999</v>
      </c>
      <c r="N33" s="123">
        <v>0</v>
      </c>
      <c r="O33" s="123">
        <v>0</v>
      </c>
      <c r="P33" s="123">
        <v>0</v>
      </c>
      <c r="Q33" s="123">
        <v>0</v>
      </c>
      <c r="R33" s="125">
        <f>IF(Ref!$Z$16&lt;=$C$3,C33,IF(Ref!$Z$16&lt;$D$3,C33,IF(Ref!$Z$16&lt;$E$3,D33,IF(Ref!$Z$16&lt;$F$3,E33,IF(Ref!$Z$16&lt;$G$3,F33,IF(Ref!$Z$16&lt;$H$3,G33,(IF(Ref!$Z$16&lt;$I$3,H33,IF(Ref!$Z$16&lt;$J$3,I33,IF(Ref!$Z$16&lt;$K$3,J33,IF(Ref!$Z$16&lt;$L$3,K33,IF(Ref!$Z$16&lt;$M$3,L33,IF(Ref!$Z$16&lt;$N$3,M33,IF(Ref!$Z$16&lt;$O$3,N33,IF(Ref!$Z$16&lt;$P$3,O33,IF(Ref!$Z$16&lt;$Q$3,P33,IF(Ref!$Z$16&lt;=$Q$3,Q33)))))))))))))))))</f>
        <v>0.19120000000000001</v>
      </c>
      <c r="S33" s="126" t="s">
        <v>140</v>
      </c>
      <c r="T33" s="127">
        <f ca="1">IF('Simulasi BPR'!$I$7&lt;=65,65,'Simulasi BPR'!I$7)</f>
        <v>74</v>
      </c>
      <c r="U33" s="128">
        <f>Ref!$Z$16</f>
        <v>10</v>
      </c>
      <c r="V33" s="129">
        <f ca="1">INDEX($C$29:$Q$48,MATCH($T33,$B$29:$B$48,0),MATCH($U33,$C$27:$Q$27,0))</f>
        <v>0.25</v>
      </c>
      <c r="W33"/>
      <c r="X33"/>
      <c r="Y33"/>
      <c r="Z33"/>
      <c r="AA33"/>
      <c r="AB33"/>
      <c r="AC33"/>
    </row>
    <row r="34" spans="2:29" ht="15" customHeight="1" x14ac:dyDescent="0.25">
      <c r="B34" s="119">
        <v>70</v>
      </c>
      <c r="C34" s="120">
        <f t="shared" ref="C34:L48" si="1">C10+1%</f>
        <v>3.6400000000000002E-2</v>
      </c>
      <c r="D34" s="120">
        <f t="shared" si="1"/>
        <v>4.2700000000000002E-2</v>
      </c>
      <c r="E34" s="120">
        <f t="shared" si="1"/>
        <v>5.9900000000000002E-2</v>
      </c>
      <c r="F34" s="120">
        <f t="shared" si="1"/>
        <v>6.5500000000000003E-2</v>
      </c>
      <c r="G34" s="120">
        <f t="shared" si="1"/>
        <v>7.7899999999999997E-2</v>
      </c>
      <c r="H34" s="120">
        <f t="shared" si="1"/>
        <v>0.17169999999999999</v>
      </c>
      <c r="I34" s="120">
        <f t="shared" si="1"/>
        <v>0.18140000000000001</v>
      </c>
      <c r="J34" s="120">
        <f t="shared" si="1"/>
        <v>0.18590000000000001</v>
      </c>
      <c r="K34" s="120">
        <f t="shared" si="1"/>
        <v>0.18740000000000001</v>
      </c>
      <c r="L34" s="120">
        <f t="shared" si="1"/>
        <v>0.19339999999999999</v>
      </c>
      <c r="M34" s="123">
        <v>0</v>
      </c>
      <c r="N34" s="123">
        <v>0</v>
      </c>
      <c r="O34" s="123">
        <v>0</v>
      </c>
      <c r="P34" s="123">
        <v>0</v>
      </c>
      <c r="Q34" s="123">
        <v>0</v>
      </c>
      <c r="R34" s="125">
        <f>IF(Ref!$Z$16&lt;=$C$3,C34,IF(Ref!$Z$16&lt;$D$3,C34,IF(Ref!$Z$16&lt;$E$3,D34,IF(Ref!$Z$16&lt;$F$3,E34,IF(Ref!$Z$16&lt;$G$3,F34,IF(Ref!$Z$16&lt;$H$3,G34,(IF(Ref!$Z$16&lt;$I$3,H34,IF(Ref!$Z$16&lt;$J$3,I34,IF(Ref!$Z$16&lt;$K$3,J34,IF(Ref!$Z$16&lt;$L$3,K34,IF(Ref!$Z$16&lt;$M$3,L34,IF(Ref!$Z$16&lt;$N$3,M34,IF(Ref!$Z$16&lt;$O$3,N34,IF(Ref!$Z$16&lt;$P$3,O34,IF(Ref!$Z$16&lt;$Q$3,P34,IF(Ref!$Z$16&lt;=$Q$3,Q34)))))))))))))))))</f>
        <v>0.19339999999999999</v>
      </c>
      <c r="S34" s="126" t="s">
        <v>141</v>
      </c>
      <c r="T34" s="127">
        <f ca="1">T33+1</f>
        <v>75</v>
      </c>
      <c r="U34" s="127">
        <f>Ref!$Z$16</f>
        <v>10</v>
      </c>
      <c r="V34" s="129">
        <f ca="1">INDEX($C$29:$Q$48,MATCH($T34,$B$29:$B$48,0),MATCH($U34,$C$27:$Q$27,0))</f>
        <v>0.26500000000000001</v>
      </c>
      <c r="W34"/>
      <c r="X34"/>
      <c r="Y34"/>
      <c r="Z34"/>
      <c r="AA34"/>
      <c r="AB34"/>
      <c r="AC34"/>
    </row>
    <row r="35" spans="2:29" ht="15" customHeight="1" x14ac:dyDescent="0.25">
      <c r="B35" s="119">
        <v>71</v>
      </c>
      <c r="C35" s="120">
        <f t="shared" si="1"/>
        <v>3.6400000000000002E-2</v>
      </c>
      <c r="D35" s="120">
        <f t="shared" si="1"/>
        <v>4.2700000000000002E-2</v>
      </c>
      <c r="E35" s="120">
        <f t="shared" si="1"/>
        <v>5.9900000000000002E-2</v>
      </c>
      <c r="F35" s="120">
        <f t="shared" si="1"/>
        <v>6.5500000000000003E-2</v>
      </c>
      <c r="G35" s="120">
        <f t="shared" si="1"/>
        <v>0.17169999999999999</v>
      </c>
      <c r="H35" s="120">
        <f t="shared" si="1"/>
        <v>0.1739</v>
      </c>
      <c r="I35" s="120">
        <f t="shared" si="1"/>
        <v>0.18290000000000001</v>
      </c>
      <c r="J35" s="120">
        <f t="shared" si="1"/>
        <v>0.1867</v>
      </c>
      <c r="K35" s="120">
        <f t="shared" si="1"/>
        <v>0.18889999999999998</v>
      </c>
      <c r="L35" s="120">
        <f t="shared" si="1"/>
        <v>0.20500000000000002</v>
      </c>
      <c r="M35" s="123">
        <v>0</v>
      </c>
      <c r="N35" s="123">
        <v>0</v>
      </c>
      <c r="O35" s="123">
        <v>0</v>
      </c>
      <c r="P35" s="123">
        <v>0</v>
      </c>
      <c r="Q35" s="123">
        <v>0</v>
      </c>
      <c r="R35" s="121">
        <f>IF(Ref!$Z$16&lt;=$C$3,C35,IF(Ref!$Z$16&lt;$D$3,C35,IF(Ref!$Z$16&lt;$E$3,D35,IF(Ref!$Z$16&lt;$F$3,E35,IF(Ref!$Z$16&lt;$G$3,F35,IF(Ref!$Z$16&lt;$H$3,G35,(IF(Ref!$Z$16&lt;$I$3,H35,IF(Ref!$Z$16&lt;$J$3,I35,IF(Ref!$Z$16&lt;$K$3,J35,IF(Ref!$Z$16&lt;$L$3,K35,IF(Ref!$Z$16&lt;$M$3,L35,IF(Ref!$Z$16&lt;$N$3,M35,IF(Ref!$Z$16&lt;$O$3,N35,IF(Ref!$Z$16&lt;$P$3,O35,IF(Ref!$Z$16&lt;$Q$3,P35,IF(Ref!$Z$16&lt;=$Q$3,Q35)))))))))))))))))</f>
        <v>0.20500000000000002</v>
      </c>
      <c r="S35"/>
      <c r="T35"/>
      <c r="U35"/>
      <c r="V35" s="129">
        <f ca="1">IF(V34&gt;V33,V34,V33)</f>
        <v>0.26500000000000001</v>
      </c>
      <c r="W35"/>
      <c r="X35"/>
      <c r="Y35"/>
      <c r="Z35"/>
      <c r="AA35"/>
      <c r="AB35"/>
      <c r="AC35"/>
    </row>
    <row r="36" spans="2:29" ht="15" customHeight="1" x14ac:dyDescent="0.25">
      <c r="B36" s="119">
        <v>72</v>
      </c>
      <c r="C36" s="120">
        <f t="shared" si="1"/>
        <v>3.6400000000000002E-2</v>
      </c>
      <c r="D36" s="120">
        <f t="shared" si="1"/>
        <v>4.2700000000000002E-2</v>
      </c>
      <c r="E36" s="120">
        <f t="shared" si="1"/>
        <v>5.9900000000000002E-2</v>
      </c>
      <c r="F36" s="120">
        <f t="shared" si="1"/>
        <v>0.14879999999999999</v>
      </c>
      <c r="G36" s="120">
        <f t="shared" si="1"/>
        <v>0.1762</v>
      </c>
      <c r="H36" s="120">
        <f t="shared" si="1"/>
        <v>0.1784</v>
      </c>
      <c r="I36" s="120">
        <f t="shared" si="1"/>
        <v>0.1837</v>
      </c>
      <c r="J36" s="120">
        <f t="shared" si="1"/>
        <v>0.18740000000000001</v>
      </c>
      <c r="K36" s="120">
        <f t="shared" si="1"/>
        <v>0.19750000000000001</v>
      </c>
      <c r="L36" s="120">
        <f t="shared" si="1"/>
        <v>0.22</v>
      </c>
      <c r="M36" s="123">
        <v>0</v>
      </c>
      <c r="N36" s="123">
        <v>0</v>
      </c>
      <c r="O36" s="123">
        <v>0</v>
      </c>
      <c r="P36" s="123">
        <v>0</v>
      </c>
      <c r="Q36" s="123">
        <v>0</v>
      </c>
      <c r="R36" s="121">
        <f>IF(Ref!$Z$16&lt;=$C$3,C36,IF(Ref!$Z$16&lt;$D$3,C36,IF(Ref!$Z$16&lt;$E$3,D36,IF(Ref!$Z$16&lt;$F$3,E36,IF(Ref!$Z$16&lt;$G$3,F36,IF(Ref!$Z$16&lt;$H$3,G36,(IF(Ref!$Z$16&lt;$I$3,H36,IF(Ref!$Z$16&lt;$J$3,I36,IF(Ref!$Z$16&lt;$K$3,J36,IF(Ref!$Z$16&lt;$L$3,K36,IF(Ref!$Z$16&lt;$M$3,L36,IF(Ref!$Z$16&lt;$N$3,M36,IF(Ref!$Z$16&lt;$O$3,N36,IF(Ref!$Z$16&lt;$P$3,O36,IF(Ref!$Z$16&lt;$Q$3,P36,IF(Ref!$Z$16&lt;=$Q$3,Q36)))))))))))))))))</f>
        <v>0.22</v>
      </c>
      <c r="S36"/>
      <c r="T36"/>
      <c r="U36"/>
      <c r="V36"/>
      <c r="W36"/>
      <c r="X36"/>
      <c r="Y36"/>
      <c r="Z36"/>
      <c r="AA36"/>
      <c r="AB36"/>
      <c r="AC36"/>
    </row>
    <row r="37" spans="2:29" ht="15" customHeight="1" x14ac:dyDescent="0.25">
      <c r="B37" s="119">
        <v>73</v>
      </c>
      <c r="C37" s="120">
        <f t="shared" si="1"/>
        <v>3.6400000000000002E-2</v>
      </c>
      <c r="D37" s="120">
        <f t="shared" si="1"/>
        <v>4.2700000000000002E-2</v>
      </c>
      <c r="E37" s="120">
        <f t="shared" si="1"/>
        <v>0.1285</v>
      </c>
      <c r="F37" s="120">
        <f t="shared" si="1"/>
        <v>0.15820000000000001</v>
      </c>
      <c r="G37" s="120">
        <f t="shared" si="1"/>
        <v>0.1784</v>
      </c>
      <c r="H37" s="120">
        <f t="shared" si="1"/>
        <v>0.1807</v>
      </c>
      <c r="I37" s="120">
        <f t="shared" si="1"/>
        <v>0.1852</v>
      </c>
      <c r="J37" s="120">
        <f t="shared" si="1"/>
        <v>0.19750000000000001</v>
      </c>
      <c r="K37" s="120">
        <f t="shared" si="1"/>
        <v>0.20500000000000002</v>
      </c>
      <c r="L37" s="120">
        <f t="shared" si="1"/>
        <v>0.23500000000000001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1">
        <f>IF(Ref!$Z$16&lt;=$C$3,C37,IF(Ref!$Z$16&lt;$D$3,C37,IF(Ref!$Z$16&lt;$E$3,D37,IF(Ref!$Z$16&lt;$F$3,E37,IF(Ref!$Z$16&lt;$G$3,F37,IF(Ref!$Z$16&lt;$H$3,G37,(IF(Ref!$Z$16&lt;$I$3,H37,IF(Ref!$Z$16&lt;$J$3,I37,IF(Ref!$Z$16&lt;$K$3,J37,IF(Ref!$Z$16&lt;$L$3,K37,IF(Ref!$Z$16&lt;$M$3,L37,IF(Ref!$Z$16&lt;$N$3,M37,IF(Ref!$Z$16&lt;$O$3,N37,IF(Ref!$Z$16&lt;$P$3,O37,IF(Ref!$Z$16&lt;$Q$3,P37,IF(Ref!$Z$16&lt;=$Q$3,Q37)))))))))))))))))</f>
        <v>0.23500000000000001</v>
      </c>
      <c r="S37"/>
      <c r="T37">
        <f>IF('Simulasi BPR'!I31&lt;=65,65,AA31)</f>
        <v>65</v>
      </c>
      <c r="U37"/>
      <c r="V37"/>
      <c r="W37"/>
      <c r="X37"/>
      <c r="Y37"/>
      <c r="Z37"/>
      <c r="AA37"/>
      <c r="AB37"/>
      <c r="AC37"/>
    </row>
    <row r="38" spans="2:29" ht="15" customHeight="1" x14ac:dyDescent="0.25">
      <c r="B38" s="119">
        <v>74</v>
      </c>
      <c r="C38" s="120">
        <f t="shared" si="1"/>
        <v>3.6400000000000002E-2</v>
      </c>
      <c r="D38" s="120">
        <f t="shared" si="1"/>
        <v>4.2700000000000002E-2</v>
      </c>
      <c r="E38" s="120">
        <f t="shared" si="1"/>
        <v>0.13150000000000001</v>
      </c>
      <c r="F38" s="120">
        <f t="shared" si="1"/>
        <v>0.1615</v>
      </c>
      <c r="G38" s="120">
        <f t="shared" si="1"/>
        <v>0.1784</v>
      </c>
      <c r="H38" s="120">
        <f t="shared" si="1"/>
        <v>0.1807</v>
      </c>
      <c r="I38" s="120">
        <f t="shared" si="1"/>
        <v>0.19750000000000001</v>
      </c>
      <c r="J38" s="120">
        <f t="shared" si="1"/>
        <v>0.20500000000000002</v>
      </c>
      <c r="K38" s="120">
        <f t="shared" si="1"/>
        <v>0.22</v>
      </c>
      <c r="L38" s="120">
        <f t="shared" si="1"/>
        <v>0.25</v>
      </c>
      <c r="M38" s="123">
        <v>0</v>
      </c>
      <c r="N38" s="123">
        <v>0</v>
      </c>
      <c r="O38" s="123">
        <v>0</v>
      </c>
      <c r="P38" s="123">
        <v>0</v>
      </c>
      <c r="Q38" s="123">
        <v>0</v>
      </c>
      <c r="R38" s="121">
        <f>IF(Ref!$Z$16&lt;=$C$3,C38,IF(Ref!$Z$16&lt;$D$3,C38,IF(Ref!$Z$16&lt;$E$3,D38,IF(Ref!$Z$16&lt;$F$3,E38,IF(Ref!$Z$16&lt;$G$3,F38,IF(Ref!$Z$16&lt;$H$3,G38,(IF(Ref!$Z$16&lt;$I$3,H38,IF(Ref!$Z$16&lt;$J$3,I38,IF(Ref!$Z$16&lt;$K$3,J38,IF(Ref!$Z$16&lt;$L$3,K38,IF(Ref!$Z$16&lt;$M$3,L38,IF(Ref!$Z$16&lt;$N$3,M38,IF(Ref!$Z$16&lt;$O$3,N38,IF(Ref!$Z$16&lt;$P$3,O38,IF(Ref!$Z$16&lt;$Q$3,P38,IF(Ref!$Z$16&lt;=$Q$3,Q38)))))))))))))))))</f>
        <v>0.25</v>
      </c>
      <c r="S38"/>
      <c r="T38"/>
      <c r="U38"/>
      <c r="V38"/>
      <c r="W38"/>
      <c r="X38"/>
      <c r="Y38"/>
      <c r="Z38"/>
      <c r="AA38"/>
      <c r="AB38"/>
      <c r="AC38"/>
    </row>
    <row r="39" spans="2:29" ht="15" customHeight="1" x14ac:dyDescent="0.25">
      <c r="B39" s="119">
        <v>75</v>
      </c>
      <c r="C39" s="120">
        <f t="shared" si="1"/>
        <v>5.8800000000000005E-2</v>
      </c>
      <c r="D39" s="120">
        <f t="shared" si="1"/>
        <v>8.199999999999999E-2</v>
      </c>
      <c r="E39" s="120">
        <f t="shared" si="1"/>
        <v>0.1353</v>
      </c>
      <c r="F39" s="120">
        <f t="shared" si="1"/>
        <v>0.17080000000000001</v>
      </c>
      <c r="G39" s="120">
        <f t="shared" si="1"/>
        <v>0.1807</v>
      </c>
      <c r="H39" s="120">
        <f t="shared" si="1"/>
        <v>0.19750000000000001</v>
      </c>
      <c r="I39" s="120">
        <f t="shared" si="1"/>
        <v>0.20500000000000002</v>
      </c>
      <c r="J39" s="120">
        <f t="shared" si="1"/>
        <v>0.22</v>
      </c>
      <c r="K39" s="120">
        <f t="shared" si="1"/>
        <v>0.22750000000000001</v>
      </c>
      <c r="L39" s="120">
        <f t="shared" si="1"/>
        <v>0.26500000000000001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1">
        <f>IF(Ref!$Z$16&lt;=$C$3,C39,IF(Ref!$Z$16&lt;$D$3,C39,IF(Ref!$Z$16&lt;$E$3,D39,IF(Ref!$Z$16&lt;$F$3,E39,IF(Ref!$Z$16&lt;$G$3,F39,IF(Ref!$Z$16&lt;$H$3,G39,(IF(Ref!$Z$16&lt;$I$3,H39,IF(Ref!$Z$16&lt;$J$3,I39,IF(Ref!$Z$16&lt;$K$3,J39,IF(Ref!$Z$16&lt;$L$3,K39,IF(Ref!$Z$16&lt;$M$3,L39,IF(Ref!$Z$16&lt;$N$3,M39,IF(Ref!$Z$16&lt;$O$3,N39,IF(Ref!$Z$16&lt;$P$3,O39,IF(Ref!$Z$16&lt;$Q$3,P39,IF(Ref!$Z$16&lt;=$Q$3,Q39)))))))))))))))))</f>
        <v>0.26500000000000001</v>
      </c>
      <c r="S39"/>
      <c r="T39"/>
      <c r="U39"/>
      <c r="V39"/>
      <c r="W39"/>
      <c r="X39"/>
      <c r="Y39"/>
      <c r="Z39"/>
      <c r="AA39"/>
      <c r="AB39"/>
      <c r="AC39"/>
    </row>
    <row r="40" spans="2:29" ht="15" customHeight="1" x14ac:dyDescent="0.25">
      <c r="B40" s="119">
        <v>76</v>
      </c>
      <c r="C40" s="120">
        <f t="shared" si="1"/>
        <v>5.8800000000000005E-2</v>
      </c>
      <c r="D40" s="120">
        <f t="shared" si="1"/>
        <v>9.2499999999999999E-2</v>
      </c>
      <c r="E40" s="120">
        <f t="shared" si="1"/>
        <v>0.1353</v>
      </c>
      <c r="F40" s="120">
        <f t="shared" si="1"/>
        <v>0.17080000000000001</v>
      </c>
      <c r="G40" s="120">
        <f t="shared" si="1"/>
        <v>0.19750000000000001</v>
      </c>
      <c r="H40" s="120">
        <f t="shared" si="1"/>
        <v>0.20500000000000002</v>
      </c>
      <c r="I40" s="120">
        <f t="shared" si="1"/>
        <v>0.22</v>
      </c>
      <c r="J40" s="120">
        <f t="shared" si="1"/>
        <v>0.22750000000000001</v>
      </c>
      <c r="K40" s="120">
        <f t="shared" si="1"/>
        <v>0.25</v>
      </c>
      <c r="L40" s="123">
        <v>0</v>
      </c>
      <c r="M40" s="123">
        <v>0</v>
      </c>
      <c r="N40" s="123">
        <v>0</v>
      </c>
      <c r="O40" s="123">
        <v>0</v>
      </c>
      <c r="P40" s="123">
        <v>0</v>
      </c>
      <c r="Q40" s="123">
        <v>0</v>
      </c>
      <c r="R40" s="121">
        <f>IF(Ref!$Z$16&lt;=$C$3,C40,IF(Ref!$Z$16&lt;$D$3,C40,IF(Ref!$Z$16&lt;$E$3,D40,IF(Ref!$Z$16&lt;$F$3,E40,IF(Ref!$Z$16&lt;$G$3,F40,IF(Ref!$Z$16&lt;$H$3,G40,(IF(Ref!$Z$16&lt;$I$3,H40,IF(Ref!$Z$16&lt;$J$3,I40,IF(Ref!$Z$16&lt;$K$3,J40,IF(Ref!$Z$16&lt;$L$3,K40,IF(Ref!$Z$16&lt;$M$3,L40,IF(Ref!$Z$16&lt;$N$3,M40,IF(Ref!$Z$16&lt;$O$3,N40,IF(Ref!$Z$16&lt;$P$3,O40,IF(Ref!$Z$16&lt;$Q$3,P40,IF(Ref!$Z$16&lt;=$Q$3,Q40)))))))))))))))))</f>
        <v>0</v>
      </c>
      <c r="S40"/>
      <c r="T40"/>
      <c r="U40"/>
      <c r="V40"/>
      <c r="W40"/>
      <c r="X40"/>
      <c r="Y40"/>
      <c r="Z40"/>
      <c r="AA40"/>
      <c r="AB40"/>
      <c r="AC40"/>
    </row>
    <row r="41" spans="2:29" ht="15" customHeight="1" x14ac:dyDescent="0.25">
      <c r="B41" s="119">
        <v>77</v>
      </c>
      <c r="C41" s="120">
        <f t="shared" si="1"/>
        <v>5.8800000000000005E-2</v>
      </c>
      <c r="D41" s="120">
        <f t="shared" si="1"/>
        <v>9.2499999999999999E-2</v>
      </c>
      <c r="E41" s="120">
        <f t="shared" si="1"/>
        <v>0.1353</v>
      </c>
      <c r="F41" s="120">
        <f t="shared" si="1"/>
        <v>0.19750000000000001</v>
      </c>
      <c r="G41" s="120">
        <f t="shared" si="1"/>
        <v>0.20500000000000002</v>
      </c>
      <c r="H41" s="120">
        <f t="shared" si="1"/>
        <v>0.22</v>
      </c>
      <c r="I41" s="120">
        <f t="shared" si="1"/>
        <v>0.22750000000000001</v>
      </c>
      <c r="J41" s="120">
        <f t="shared" si="1"/>
        <v>0.24250000000000002</v>
      </c>
      <c r="K41" s="123">
        <v>0</v>
      </c>
      <c r="L41" s="123">
        <v>0</v>
      </c>
      <c r="M41" s="123">
        <v>0</v>
      </c>
      <c r="N41" s="123">
        <v>0</v>
      </c>
      <c r="O41" s="123">
        <v>0</v>
      </c>
      <c r="P41" s="123">
        <v>0</v>
      </c>
      <c r="Q41" s="123">
        <v>0</v>
      </c>
      <c r="R41" s="121">
        <f>IF(Ref!$Z$16&lt;=$C$3,C41,IF(Ref!$Z$16&lt;$D$3,C41,IF(Ref!$Z$16&lt;$E$3,D41,IF(Ref!$Z$16&lt;$F$3,E41,IF(Ref!$Z$16&lt;$G$3,F41,IF(Ref!$Z$16&lt;$H$3,G41,(IF(Ref!$Z$16&lt;$I$3,H41,IF(Ref!$Z$16&lt;$J$3,I41,IF(Ref!$Z$16&lt;$K$3,J41,IF(Ref!$Z$16&lt;$L$3,K41,IF(Ref!$Z$16&lt;$M$3,L41,IF(Ref!$Z$16&lt;$N$3,M41,IF(Ref!$Z$16&lt;$O$3,N41,IF(Ref!$Z$16&lt;$P$3,O41,IF(Ref!$Z$16&lt;$Q$3,P41,IF(Ref!$Z$16&lt;=$Q$3,Q41)))))))))))))))))</f>
        <v>0</v>
      </c>
      <c r="S41"/>
      <c r="T41"/>
      <c r="U41"/>
      <c r="V41"/>
      <c r="W41"/>
      <c r="X41"/>
      <c r="Y41"/>
      <c r="Z41"/>
      <c r="AA41"/>
      <c r="AB41"/>
      <c r="AC41"/>
    </row>
    <row r="42" spans="2:29" ht="15" customHeight="1" x14ac:dyDescent="0.25">
      <c r="B42" s="119">
        <v>78</v>
      </c>
      <c r="C42" s="120">
        <f t="shared" si="1"/>
        <v>5.8800000000000005E-2</v>
      </c>
      <c r="D42" s="120">
        <f t="shared" si="1"/>
        <v>9.2499999999999999E-2</v>
      </c>
      <c r="E42" s="120">
        <f t="shared" si="1"/>
        <v>0.19750000000000001</v>
      </c>
      <c r="F42" s="120">
        <f t="shared" si="1"/>
        <v>0.20500000000000002</v>
      </c>
      <c r="G42" s="120">
        <f t="shared" si="1"/>
        <v>0.22</v>
      </c>
      <c r="H42" s="120">
        <f t="shared" si="1"/>
        <v>0.22750000000000001</v>
      </c>
      <c r="I42" s="120">
        <f t="shared" si="1"/>
        <v>0.23500000000000001</v>
      </c>
      <c r="J42" s="123">
        <v>0</v>
      </c>
      <c r="K42" s="123">
        <v>0</v>
      </c>
      <c r="L42" s="123">
        <v>0</v>
      </c>
      <c r="M42" s="123">
        <v>0</v>
      </c>
      <c r="N42" s="123">
        <v>0</v>
      </c>
      <c r="O42" s="123">
        <v>0</v>
      </c>
      <c r="P42" s="123">
        <v>0</v>
      </c>
      <c r="Q42" s="123">
        <v>0</v>
      </c>
      <c r="R42" s="121">
        <f>IF(Ref!$Z$16&lt;=$C$3,C42,IF(Ref!$Z$16&lt;$D$3,C42,IF(Ref!$Z$16&lt;$E$3,D42,IF(Ref!$Z$16&lt;$F$3,E42,IF(Ref!$Z$16&lt;$G$3,F42,IF(Ref!$Z$16&lt;$H$3,G42,(IF(Ref!$Z$16&lt;$I$3,H42,IF(Ref!$Z$16&lt;$J$3,I42,IF(Ref!$Z$16&lt;$K$3,J42,IF(Ref!$Z$16&lt;$L$3,K42,IF(Ref!$Z$16&lt;$M$3,L42,IF(Ref!$Z$16&lt;$N$3,M42,IF(Ref!$Z$16&lt;$O$3,N42,IF(Ref!$Z$16&lt;$P$3,O42,IF(Ref!$Z$16&lt;$Q$3,P42,IF(Ref!$Z$16&lt;=$Q$3,Q42)))))))))))))))))</f>
        <v>0</v>
      </c>
      <c r="S42"/>
      <c r="T42"/>
      <c r="U42"/>
      <c r="V42"/>
      <c r="W42"/>
      <c r="X42"/>
      <c r="Y42"/>
      <c r="Z42"/>
      <c r="AA42"/>
      <c r="AB42"/>
      <c r="AC42"/>
    </row>
    <row r="43" spans="2:29" ht="15" customHeight="1" x14ac:dyDescent="0.25">
      <c r="B43" s="119">
        <v>79</v>
      </c>
      <c r="C43" s="120">
        <f t="shared" si="1"/>
        <v>5.8800000000000005E-2</v>
      </c>
      <c r="D43" s="120">
        <f t="shared" si="1"/>
        <v>0.11499999999999999</v>
      </c>
      <c r="E43" s="120">
        <f t="shared" si="1"/>
        <v>0.20500000000000002</v>
      </c>
      <c r="F43" s="120">
        <f t="shared" si="1"/>
        <v>0.22</v>
      </c>
      <c r="G43" s="120">
        <f t="shared" si="1"/>
        <v>0.22750000000000001</v>
      </c>
      <c r="H43" s="120">
        <f t="shared" si="1"/>
        <v>0.23500000000000001</v>
      </c>
      <c r="I43" s="123">
        <v>0</v>
      </c>
      <c r="J43" s="123">
        <v>0</v>
      </c>
      <c r="K43" s="123">
        <v>0</v>
      </c>
      <c r="L43" s="123">
        <v>0</v>
      </c>
      <c r="M43" s="123">
        <v>0</v>
      </c>
      <c r="N43" s="123">
        <v>0</v>
      </c>
      <c r="O43" s="123">
        <v>0</v>
      </c>
      <c r="P43" s="123">
        <v>0</v>
      </c>
      <c r="Q43" s="123">
        <v>0</v>
      </c>
      <c r="R43" s="121">
        <f>IF(Ref!$Z$16&lt;=$C$3,C43,IF(Ref!$Z$16&lt;$D$3,C43,IF(Ref!$Z$16&lt;$E$3,D43,IF(Ref!$Z$16&lt;$F$3,E43,IF(Ref!$Z$16&lt;$G$3,F43,IF(Ref!$Z$16&lt;$H$3,G43,(IF(Ref!$Z$16&lt;$I$3,H43,IF(Ref!$Z$16&lt;$J$3,I43,IF(Ref!$Z$16&lt;$K$3,J43,IF(Ref!$Z$16&lt;$L$3,K43,IF(Ref!$Z$16&lt;$M$3,L43,IF(Ref!$Z$16&lt;$N$3,M43,IF(Ref!$Z$16&lt;$O$3,N43,IF(Ref!$Z$16&lt;$P$3,O43,IF(Ref!$Z$16&lt;$Q$3,P43,IF(Ref!$Z$16&lt;=$Q$3,Q43)))))))))))))))))</f>
        <v>0</v>
      </c>
      <c r="S43"/>
      <c r="T43"/>
      <c r="U43"/>
      <c r="V43"/>
      <c r="W43"/>
      <c r="X43"/>
      <c r="Y43"/>
      <c r="Z43"/>
      <c r="AA43"/>
      <c r="AB43"/>
      <c r="AC43"/>
    </row>
    <row r="44" spans="2:29" ht="15" customHeight="1" x14ac:dyDescent="0.25">
      <c r="B44" s="119">
        <v>80</v>
      </c>
      <c r="C44" s="120">
        <f t="shared" si="1"/>
        <v>9.0299999999999991E-2</v>
      </c>
      <c r="D44" s="120">
        <f t="shared" si="1"/>
        <v>0.13</v>
      </c>
      <c r="E44" s="120">
        <f t="shared" si="1"/>
        <v>0.22</v>
      </c>
      <c r="F44" s="120">
        <f t="shared" si="1"/>
        <v>0.22750000000000001</v>
      </c>
      <c r="G44" s="120">
        <f t="shared" si="1"/>
        <v>0.23500000000000001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23">
        <v>0</v>
      </c>
      <c r="O44" s="123">
        <v>0</v>
      </c>
      <c r="P44" s="123">
        <v>0</v>
      </c>
      <c r="Q44" s="123">
        <v>0</v>
      </c>
      <c r="R44" s="121">
        <f>IF(Ref!$Z$16&lt;=$C$3,C44,IF(Ref!$Z$16&lt;$D$3,C44,IF(Ref!$Z$16&lt;$E$3,D44,IF(Ref!$Z$16&lt;$F$3,E44,IF(Ref!$Z$16&lt;$G$3,F44,IF(Ref!$Z$16&lt;$H$3,G44,(IF(Ref!$Z$16&lt;$I$3,H44,IF(Ref!$Z$16&lt;$J$3,I44,IF(Ref!$Z$16&lt;$K$3,J44,IF(Ref!$Z$16&lt;$L$3,K44,IF(Ref!$Z$16&lt;$M$3,L44,IF(Ref!$Z$16&lt;$N$3,M44,IF(Ref!$Z$16&lt;$O$3,N44,IF(Ref!$Z$16&lt;$P$3,O44,IF(Ref!$Z$16&lt;$Q$3,P44,IF(Ref!$Z$16&lt;=$Q$3,Q44)))))))))))))))))</f>
        <v>0</v>
      </c>
    </row>
    <row r="45" spans="2:29" ht="15" customHeight="1" x14ac:dyDescent="0.25">
      <c r="B45" s="119">
        <v>81</v>
      </c>
      <c r="C45" s="120">
        <f t="shared" si="1"/>
        <v>0.1027</v>
      </c>
      <c r="D45" s="120">
        <f t="shared" si="1"/>
        <v>0.14500000000000002</v>
      </c>
      <c r="E45" s="120">
        <f t="shared" si="1"/>
        <v>0.22750000000000001</v>
      </c>
      <c r="F45" s="120">
        <f t="shared" si="1"/>
        <v>0.23500000000000001</v>
      </c>
      <c r="G45" s="123">
        <v>0</v>
      </c>
      <c r="H45" s="123">
        <v>0</v>
      </c>
      <c r="I45" s="123">
        <v>0</v>
      </c>
      <c r="J45" s="123">
        <v>0</v>
      </c>
      <c r="K45" s="123">
        <v>0</v>
      </c>
      <c r="L45" s="123">
        <v>0</v>
      </c>
      <c r="M45" s="123">
        <v>0</v>
      </c>
      <c r="N45" s="123">
        <v>0</v>
      </c>
      <c r="O45" s="123">
        <v>0</v>
      </c>
      <c r="P45" s="123">
        <v>0</v>
      </c>
      <c r="Q45" s="123">
        <v>0</v>
      </c>
      <c r="R45" s="121">
        <f>IF(Ref!$Z$16&lt;=$C$3,C45,IF(Ref!$Z$16&lt;$D$3,C45,IF(Ref!$Z$16&lt;$E$3,D45,IF(Ref!$Z$16&lt;$F$3,E45,IF(Ref!$Z$16&lt;$G$3,F45,IF(Ref!$Z$16&lt;$H$3,G45,(IF(Ref!$Z$16&lt;$I$3,H45,IF(Ref!$Z$16&lt;$J$3,I45,IF(Ref!$Z$16&lt;$K$3,J45,IF(Ref!$Z$16&lt;$L$3,K45,IF(Ref!$Z$16&lt;$M$3,L45,IF(Ref!$Z$16&lt;$N$3,M45,IF(Ref!$Z$16&lt;$O$3,N45,IF(Ref!$Z$16&lt;$P$3,O45,IF(Ref!$Z$16&lt;$Q$3,P45,IF(Ref!$Z$16&lt;=$Q$3,Q45)))))))))))))))))</f>
        <v>0</v>
      </c>
    </row>
    <row r="46" spans="2:29" ht="15" customHeight="1" x14ac:dyDescent="0.25">
      <c r="B46" s="119">
        <v>82</v>
      </c>
      <c r="C46" s="120">
        <f t="shared" si="1"/>
        <v>0.1207</v>
      </c>
      <c r="D46" s="120">
        <f t="shared" si="1"/>
        <v>0.17500000000000002</v>
      </c>
      <c r="E46" s="120">
        <f t="shared" si="1"/>
        <v>0.23500000000000001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1">
        <f>IF(Ref!$Z$16&lt;=$C$3,C46,IF(Ref!$Z$16&lt;$D$3,C46,IF(Ref!$Z$16&lt;$E$3,D46,IF(Ref!$Z$16&lt;$F$3,E46,IF(Ref!$Z$16&lt;$G$3,F46,IF(Ref!$Z$16&lt;$H$3,G46,(IF(Ref!$Z$16&lt;$I$3,H46,IF(Ref!$Z$16&lt;$J$3,I46,IF(Ref!$Z$16&lt;$K$3,J46,IF(Ref!$Z$16&lt;$L$3,K46,IF(Ref!$Z$16&lt;$M$3,L46,IF(Ref!$Z$16&lt;$N$3,M46,IF(Ref!$Z$16&lt;$O$3,N46,IF(Ref!$Z$16&lt;$P$3,O46,IF(Ref!$Z$16&lt;$Q$3,P46,IF(Ref!$Z$16&lt;=$Q$3,Q46)))))))))))))))))</f>
        <v>0</v>
      </c>
    </row>
    <row r="47" spans="2:29" ht="15" customHeight="1" x14ac:dyDescent="0.25">
      <c r="B47" s="119">
        <v>83</v>
      </c>
      <c r="C47" s="120">
        <f t="shared" si="1"/>
        <v>0.1353</v>
      </c>
      <c r="D47" s="120">
        <f t="shared" si="1"/>
        <v>0.19</v>
      </c>
      <c r="E47" s="123">
        <v>0</v>
      </c>
      <c r="F47" s="123">
        <v>0</v>
      </c>
      <c r="G47" s="123">
        <v>0</v>
      </c>
      <c r="H47" s="123">
        <v>0</v>
      </c>
      <c r="I47" s="123">
        <v>0</v>
      </c>
      <c r="J47" s="123">
        <v>0</v>
      </c>
      <c r="K47" s="123">
        <v>0</v>
      </c>
      <c r="L47" s="123">
        <v>0</v>
      </c>
      <c r="M47" s="123">
        <v>0</v>
      </c>
      <c r="N47" s="123">
        <v>0</v>
      </c>
      <c r="O47" s="123">
        <v>0</v>
      </c>
      <c r="P47" s="123">
        <v>0</v>
      </c>
      <c r="Q47" s="123">
        <v>0</v>
      </c>
      <c r="R47" s="121">
        <f>IF(Ref!$Z$16&lt;=$C$3,C47,IF(Ref!$Z$16&lt;$D$3,C47,IF(Ref!$Z$16&lt;$E$3,D47,IF(Ref!$Z$16&lt;$F$3,E47,IF(Ref!$Z$16&lt;$G$3,F47,IF(Ref!$Z$16&lt;$H$3,G47,(IF(Ref!$Z$16&lt;$I$3,H47,IF(Ref!$Z$16&lt;$J$3,I47,IF(Ref!$Z$16&lt;$K$3,J47,IF(Ref!$Z$16&lt;$L$3,K47,IF(Ref!$Z$16&lt;$M$3,L47,IF(Ref!$Z$16&lt;$N$3,M47,IF(Ref!$Z$16&lt;$O$3,N47,IF(Ref!$Z$16&lt;$P$3,O47,IF(Ref!$Z$16&lt;$Q$3,P47,IF(Ref!$Z$16&lt;=$Q$3,Q47)))))))))))))))))</f>
        <v>0</v>
      </c>
    </row>
    <row r="48" spans="2:29" ht="15" customHeight="1" x14ac:dyDescent="0.25">
      <c r="B48" s="119">
        <v>84</v>
      </c>
      <c r="C48" s="120">
        <f t="shared" si="1"/>
        <v>0.1469</v>
      </c>
      <c r="D48" s="123">
        <v>0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>
        <v>0</v>
      </c>
      <c r="N48" s="123">
        <v>0</v>
      </c>
      <c r="O48" s="123">
        <v>0</v>
      </c>
      <c r="P48" s="123">
        <v>0</v>
      </c>
      <c r="Q48" s="123">
        <v>0</v>
      </c>
      <c r="R48" s="121">
        <f>IF(Ref!$Z$16&lt;=$C$3,C48,IF(Ref!$Z$16&lt;$D$3,C48,IF(Ref!$Z$16&lt;$E$3,D48,IF(Ref!$Z$16&lt;$F$3,E48,IF(Ref!$Z$16&lt;$G$3,F48,IF(Ref!$Z$16&lt;$H$3,G48,(IF(Ref!$Z$16&lt;$I$3,H48,IF(Ref!$Z$16&lt;$J$3,I48,IF(Ref!$Z$16&lt;$K$3,J48,IF(Ref!$Z$16&lt;$L$3,K48,IF(Ref!$Z$16&lt;$M$3,L48,IF(Ref!$Z$16&lt;$N$3,M48,IF(Ref!$Z$16&lt;$O$3,N48,IF(Ref!$Z$16&lt;$P$3,O48,IF(Ref!$Z$16&lt;$Q$3,P48,IF(Ref!$Z$16&lt;=$Q$3,Q48)))))))))))))))))</f>
        <v>0</v>
      </c>
    </row>
  </sheetData>
  <pageMargins left="0.7" right="0.7" top="0.75" bottom="0.75" header="0.3" footer="0.3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</sheetPr>
  <dimension ref="A1:BZ227"/>
  <sheetViews>
    <sheetView showGridLines="0" tabSelected="1" topLeftCell="A13" zoomScale="110" workbookViewId="0">
      <selection activeCell="G26" sqref="G26:H26"/>
    </sheetView>
  </sheetViews>
  <sheetFormatPr defaultColWidth="9.140625" defaultRowHeight="15.75" x14ac:dyDescent="0.25"/>
  <cols>
    <col min="1" max="1" width="18.140625" style="16" bestFit="1" customWidth="1"/>
    <col min="2" max="2" width="2.5703125" style="16" customWidth="1"/>
    <col min="3" max="3" width="22.140625" style="16" customWidth="1"/>
    <col min="4" max="4" width="2.5703125" style="16" customWidth="1"/>
    <col min="5" max="5" width="10.140625" style="16" customWidth="1"/>
    <col min="6" max="6" width="8.5703125" style="16" customWidth="1"/>
    <col min="7" max="7" width="10.5703125" style="16" customWidth="1"/>
    <col min="8" max="8" width="3.42578125" style="16" customWidth="1"/>
    <col min="9" max="9" width="8.5703125" style="130" customWidth="1"/>
    <col min="10" max="11" width="8.5703125" style="131" customWidth="1"/>
    <col min="12" max="12" width="2.5703125" style="131" customWidth="1"/>
    <col min="13" max="13" width="7.5703125" style="131" customWidth="1"/>
    <col min="14" max="14" width="18.5703125" style="131" customWidth="1"/>
    <col min="15" max="15" width="2.5703125" style="16" customWidth="1"/>
    <col min="16" max="16" width="12.7109375" style="132" customWidth="1"/>
    <col min="17" max="17" width="12.140625" style="132" customWidth="1"/>
    <col min="18" max="23" width="9.140625" style="132"/>
    <col min="24" max="25" width="9.140625" style="23"/>
    <col min="26" max="78" width="9.140625" style="191"/>
    <col min="79" max="16384" width="9.140625" style="16"/>
  </cols>
  <sheetData>
    <row r="1" spans="1:78" ht="15" customHeight="1" x14ac:dyDescent="0.25">
      <c r="D1" s="23"/>
      <c r="I1" s="16"/>
      <c r="J1" s="16"/>
      <c r="K1" s="16"/>
      <c r="L1" s="16"/>
      <c r="M1" s="16"/>
      <c r="N1" s="16"/>
      <c r="O1" s="13"/>
    </row>
    <row r="2" spans="1:78" s="23" customFormat="1" ht="15" customHeight="1" x14ac:dyDescent="0.25">
      <c r="A2" s="211" t="s">
        <v>32</v>
      </c>
      <c r="B2" s="212"/>
      <c r="C2" s="213"/>
      <c r="E2" s="223" t="s">
        <v>38</v>
      </c>
      <c r="F2" s="223"/>
      <c r="G2" s="223"/>
      <c r="H2" s="223"/>
      <c r="I2" s="223"/>
      <c r="J2" s="223"/>
      <c r="K2" s="223"/>
      <c r="L2" s="223"/>
      <c r="M2" s="223"/>
      <c r="N2" s="223"/>
      <c r="P2" s="133"/>
      <c r="S2" s="132"/>
      <c r="T2" s="132"/>
      <c r="U2" s="132"/>
      <c r="V2" s="132"/>
      <c r="W2" s="13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</row>
    <row r="3" spans="1:78" s="23" customFormat="1" ht="15" customHeight="1" x14ac:dyDescent="0.25">
      <c r="A3" s="215" t="s">
        <v>52</v>
      </c>
      <c r="B3" s="216"/>
      <c r="C3" s="217"/>
      <c r="E3" s="223" t="str">
        <f>C7&amp;" - "&amp;C6</f>
        <v>BPR Kota Madiun - PLATINUM</v>
      </c>
      <c r="F3" s="223"/>
      <c r="G3" s="223"/>
      <c r="H3" s="223"/>
      <c r="I3" s="223"/>
      <c r="J3" s="223"/>
      <c r="K3" s="223"/>
      <c r="L3" s="223"/>
      <c r="M3" s="223"/>
      <c r="N3" s="223"/>
      <c r="O3" s="36"/>
      <c r="P3" s="134"/>
      <c r="S3" s="132"/>
      <c r="T3" s="132"/>
      <c r="U3" s="132"/>
      <c r="V3" s="132"/>
      <c r="W3" s="13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2"/>
      <c r="AV3" s="192"/>
      <c r="AW3" s="192"/>
      <c r="AX3" s="192"/>
      <c r="AY3" s="192"/>
      <c r="AZ3" s="192"/>
      <c r="BA3" s="192"/>
      <c r="BB3" s="192"/>
      <c r="BC3" s="192"/>
      <c r="BD3" s="192"/>
      <c r="BE3" s="192"/>
      <c r="BF3" s="192"/>
      <c r="BG3" s="192"/>
      <c r="BH3" s="192"/>
      <c r="BI3" s="192"/>
      <c r="BJ3" s="192"/>
      <c r="BK3" s="192"/>
      <c r="BL3" s="192"/>
      <c r="BM3" s="192"/>
      <c r="BN3" s="192"/>
      <c r="BO3" s="192"/>
      <c r="BP3" s="192"/>
      <c r="BQ3" s="192"/>
      <c r="BR3" s="192"/>
      <c r="BS3" s="192"/>
      <c r="BT3" s="192"/>
      <c r="BU3" s="192"/>
      <c r="BV3" s="192"/>
      <c r="BW3" s="192"/>
      <c r="BX3" s="192"/>
      <c r="BY3" s="192"/>
      <c r="BZ3" s="192"/>
    </row>
    <row r="4" spans="1:78" s="37" customFormat="1" ht="15" customHeight="1" x14ac:dyDescent="0.25">
      <c r="A4" s="77" t="s">
        <v>177</v>
      </c>
      <c r="D4" s="23"/>
      <c r="E4" s="135" t="s">
        <v>166</v>
      </c>
      <c r="F4" s="203">
        <v>100</v>
      </c>
      <c r="G4" s="204"/>
      <c r="I4" s="136"/>
      <c r="J4" s="136"/>
      <c r="K4" s="136"/>
      <c r="O4" s="13"/>
      <c r="P4" s="137"/>
      <c r="Q4" s="138"/>
      <c r="R4" s="132"/>
      <c r="S4" s="132"/>
      <c r="T4" s="132"/>
      <c r="U4" s="132"/>
      <c r="V4" s="132"/>
      <c r="W4" s="132"/>
      <c r="X4" s="23"/>
      <c r="Y4" s="2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  <c r="BJ4" s="193"/>
      <c r="BK4" s="193"/>
      <c r="BL4" s="193"/>
      <c r="BM4" s="193"/>
      <c r="BN4" s="193"/>
      <c r="BO4" s="193"/>
      <c r="BP4" s="193"/>
      <c r="BQ4" s="193"/>
      <c r="BR4" s="193"/>
      <c r="BS4" s="193"/>
      <c r="BT4" s="193"/>
      <c r="BU4" s="193"/>
      <c r="BV4" s="193"/>
      <c r="BW4" s="193"/>
      <c r="BX4" s="193"/>
      <c r="BY4" s="193"/>
      <c r="BZ4" s="193"/>
    </row>
    <row r="5" spans="1:78" s="37" customFormat="1" ht="15" customHeight="1" x14ac:dyDescent="0.25">
      <c r="A5" s="139" t="s">
        <v>122</v>
      </c>
      <c r="B5" s="136" t="s">
        <v>13</v>
      </c>
      <c r="C5" s="199" t="s">
        <v>185</v>
      </c>
      <c r="D5" s="23"/>
      <c r="E5" s="214" t="s">
        <v>33</v>
      </c>
      <c r="F5" s="214"/>
      <c r="G5" s="214"/>
      <c r="H5" s="21"/>
      <c r="I5" s="214" t="s">
        <v>16</v>
      </c>
      <c r="J5" s="214"/>
      <c r="K5" s="214"/>
      <c r="L5" s="141"/>
      <c r="M5" s="227" t="s">
        <v>23</v>
      </c>
      <c r="N5" s="228"/>
      <c r="O5" s="13"/>
      <c r="R5" s="132"/>
      <c r="S5" s="132"/>
      <c r="T5" s="132"/>
      <c r="U5" s="132"/>
      <c r="V5" s="132"/>
      <c r="W5" s="132"/>
      <c r="X5" s="23"/>
      <c r="Y5" s="2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  <c r="BN5" s="193"/>
      <c r="BO5" s="193"/>
      <c r="BP5" s="193"/>
      <c r="BQ5" s="193"/>
      <c r="BR5" s="193"/>
      <c r="BS5" s="193"/>
      <c r="BT5" s="193"/>
      <c r="BU5" s="193"/>
      <c r="BV5" s="193"/>
      <c r="BW5" s="193"/>
      <c r="BX5" s="193"/>
      <c r="BY5" s="193"/>
      <c r="BZ5" s="193"/>
    </row>
    <row r="6" spans="1:78" s="37" customFormat="1" ht="15" customHeight="1" x14ac:dyDescent="0.25">
      <c r="A6" s="135" t="s">
        <v>28</v>
      </c>
      <c r="B6" s="136" t="s">
        <v>13</v>
      </c>
      <c r="C6" s="199" t="s">
        <v>29</v>
      </c>
      <c r="D6" s="23"/>
      <c r="E6" s="142" t="s">
        <v>0</v>
      </c>
      <c r="F6" s="142" t="s">
        <v>1</v>
      </c>
      <c r="G6" s="142" t="s">
        <v>2</v>
      </c>
      <c r="H6" s="21"/>
      <c r="I6" s="142" t="s">
        <v>2</v>
      </c>
      <c r="J6" s="140" t="s">
        <v>1</v>
      </c>
      <c r="K6" s="142" t="s">
        <v>3</v>
      </c>
      <c r="L6" s="141"/>
      <c r="M6" s="229" t="s">
        <v>8</v>
      </c>
      <c r="N6" s="230"/>
      <c r="O6" s="43"/>
      <c r="P6" s="132"/>
      <c r="Q6" s="132"/>
      <c r="R6" s="132"/>
      <c r="S6" s="132"/>
      <c r="T6" s="132"/>
      <c r="U6" s="132"/>
      <c r="V6" s="132"/>
      <c r="W6" s="132"/>
      <c r="X6" s="23"/>
      <c r="Y6" s="2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/>
      <c r="BF6" s="193"/>
      <c r="BG6" s="193"/>
      <c r="BH6" s="193"/>
      <c r="BI6" s="193"/>
      <c r="BJ6" s="193"/>
      <c r="BK6" s="193"/>
      <c r="BL6" s="193"/>
      <c r="BM6" s="193"/>
      <c r="BN6" s="193"/>
      <c r="BO6" s="193"/>
      <c r="BP6" s="193"/>
      <c r="BQ6" s="193"/>
      <c r="BR6" s="193"/>
      <c r="BS6" s="193"/>
      <c r="BT6" s="193"/>
      <c r="BU6" s="193"/>
      <c r="BV6" s="193"/>
      <c r="BW6" s="193"/>
      <c r="BX6" s="193"/>
      <c r="BY6" s="193"/>
      <c r="BZ6" s="193"/>
    </row>
    <row r="7" spans="1:78" s="37" customFormat="1" ht="15" customHeight="1" x14ac:dyDescent="0.25">
      <c r="A7" s="135" t="s">
        <v>21</v>
      </c>
      <c r="B7" s="136" t="s">
        <v>13</v>
      </c>
      <c r="C7" s="200" t="s">
        <v>135</v>
      </c>
      <c r="D7" s="23"/>
      <c r="E7" s="205">
        <v>19</v>
      </c>
      <c r="F7" s="205">
        <v>3</v>
      </c>
      <c r="G7" s="205">
        <v>1952</v>
      </c>
      <c r="H7" s="21"/>
      <c r="I7" s="143">
        <f ca="1">DATEDIF(Ref!Z2,TODAY(),"y")</f>
        <v>74</v>
      </c>
      <c r="J7" s="143">
        <f ca="1">DATEDIF(Ref!Z2,TODAY(),"ym")</f>
        <v>5</v>
      </c>
      <c r="K7" s="143">
        <f ca="1">DATEDIF(Ref!Z2,TODAY(),"md")</f>
        <v>5</v>
      </c>
      <c r="L7" s="141"/>
      <c r="M7" s="232" t="str">
        <f ca="1">DATEDIF(Ref!Z2,N9,"Y")&amp;" : "&amp;DATEDIF(Ref!Z2,N9,"YM")&amp;" : "&amp;DATEDIF(Ref!Z2,N9,"MD")</f>
        <v>84 : 5 : 5</v>
      </c>
      <c r="N7" s="233"/>
      <c r="O7" s="43"/>
      <c r="P7" s="132"/>
      <c r="Q7" s="132"/>
      <c r="R7" s="132"/>
      <c r="S7" s="132"/>
      <c r="T7" s="132"/>
      <c r="U7" s="132"/>
      <c r="V7" s="132"/>
      <c r="W7" s="132"/>
      <c r="X7" s="23"/>
      <c r="Y7" s="23"/>
      <c r="Z7" s="193"/>
      <c r="AA7" s="193"/>
      <c r="AB7" s="193"/>
      <c r="AC7" s="193"/>
      <c r="AD7" s="193"/>
      <c r="AE7" s="193"/>
      <c r="AF7" s="193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193"/>
      <c r="AS7" s="193"/>
      <c r="AT7" s="193"/>
      <c r="AU7" s="193"/>
      <c r="AV7" s="193"/>
      <c r="AW7" s="193"/>
      <c r="AX7" s="193"/>
      <c r="AY7" s="193"/>
      <c r="AZ7" s="193"/>
      <c r="BA7" s="193"/>
      <c r="BB7" s="193"/>
      <c r="BC7" s="193"/>
      <c r="BD7" s="193"/>
      <c r="BE7" s="193"/>
      <c r="BF7" s="193"/>
      <c r="BG7" s="193"/>
      <c r="BH7" s="193"/>
      <c r="BI7" s="193"/>
      <c r="BJ7" s="193"/>
      <c r="BK7" s="193"/>
      <c r="BL7" s="193"/>
      <c r="BM7" s="193"/>
      <c r="BN7" s="193"/>
      <c r="BO7" s="193"/>
      <c r="BP7" s="193"/>
      <c r="BQ7" s="193"/>
      <c r="BR7" s="193"/>
      <c r="BS7" s="193"/>
      <c r="BT7" s="193"/>
      <c r="BU7" s="193"/>
      <c r="BV7" s="193"/>
      <c r="BW7" s="193"/>
      <c r="BX7" s="193"/>
      <c r="BY7" s="193"/>
      <c r="BZ7" s="193"/>
    </row>
    <row r="8" spans="1:78" s="37" customFormat="1" ht="15" customHeight="1" x14ac:dyDescent="0.25">
      <c r="A8" s="135" t="s">
        <v>57</v>
      </c>
      <c r="B8" s="136" t="s">
        <v>13</v>
      </c>
      <c r="C8" s="200" t="s">
        <v>86</v>
      </c>
      <c r="D8" s="23"/>
      <c r="E8" s="16"/>
      <c r="F8" s="16"/>
      <c r="G8" s="144"/>
      <c r="H8" s="21"/>
      <c r="I8" s="145"/>
      <c r="J8" s="145"/>
      <c r="K8" s="146"/>
      <c r="L8" s="16"/>
      <c r="M8" s="16"/>
      <c r="N8" s="147"/>
      <c r="O8" s="43"/>
      <c r="P8" s="132"/>
      <c r="Q8" s="132"/>
      <c r="R8" s="132"/>
      <c r="S8" s="132"/>
      <c r="T8" s="132"/>
      <c r="U8" s="132"/>
      <c r="V8" s="132"/>
      <c r="W8" s="132"/>
      <c r="X8" s="23"/>
      <c r="Y8" s="2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3"/>
      <c r="AU8" s="193"/>
      <c r="AV8" s="193"/>
      <c r="AW8" s="193"/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3"/>
      <c r="BI8" s="193"/>
      <c r="BJ8" s="193"/>
      <c r="BK8" s="193"/>
      <c r="BL8" s="193"/>
      <c r="BM8" s="193"/>
      <c r="BN8" s="193"/>
      <c r="BO8" s="193"/>
      <c r="BP8" s="193"/>
      <c r="BQ8" s="193"/>
      <c r="BR8" s="193"/>
      <c r="BS8" s="193"/>
      <c r="BT8" s="193"/>
      <c r="BU8" s="193"/>
      <c r="BV8" s="193"/>
      <c r="BW8" s="193"/>
      <c r="BX8" s="193"/>
      <c r="BY8" s="193"/>
      <c r="BZ8" s="193"/>
    </row>
    <row r="9" spans="1:78" s="37" customFormat="1" ht="15" customHeight="1" x14ac:dyDescent="0.25">
      <c r="A9" s="135" t="s">
        <v>48</v>
      </c>
      <c r="B9" s="136" t="s">
        <v>13</v>
      </c>
      <c r="C9" s="148" t="str">
        <f>VLOOKUP(C8,Ref!V2:W37,2,0)&amp;" Kantor Pos Cabang"</f>
        <v>17 Kantor Pos Cabang</v>
      </c>
      <c r="D9" s="23"/>
      <c r="E9" s="222" t="s">
        <v>14</v>
      </c>
      <c r="F9" s="222"/>
      <c r="G9" s="222"/>
      <c r="H9" s="21"/>
      <c r="I9" s="150" t="s">
        <v>35</v>
      </c>
      <c r="J9" s="214" t="s">
        <v>56</v>
      </c>
      <c r="K9" s="214"/>
      <c r="L9" s="141"/>
      <c r="M9" s="151" t="s">
        <v>40</v>
      </c>
      <c r="N9" s="152">
        <f ca="1">EDATE(Ref!Y5,G13)</f>
        <v>49911</v>
      </c>
      <c r="O9" s="43"/>
      <c r="P9" s="132"/>
      <c r="Q9" s="132"/>
      <c r="R9" s="132"/>
      <c r="S9" s="132"/>
      <c r="T9" s="132"/>
      <c r="U9" s="132"/>
      <c r="V9" s="132"/>
      <c r="W9" s="132"/>
      <c r="X9" s="23"/>
      <c r="Y9" s="2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</row>
    <row r="10" spans="1:78" ht="15" customHeight="1" x14ac:dyDescent="0.25">
      <c r="A10" s="139" t="s">
        <v>20</v>
      </c>
      <c r="B10" s="136" t="s">
        <v>13</v>
      </c>
      <c r="C10" s="200" t="s">
        <v>176</v>
      </c>
      <c r="D10" s="23"/>
      <c r="E10" s="153" t="s">
        <v>4</v>
      </c>
      <c r="F10" s="234">
        <v>1750000</v>
      </c>
      <c r="G10" s="234"/>
      <c r="H10" s="21"/>
      <c r="I10" s="154">
        <f>IF(C7="BPR Kota Madiun",Ref!C3,IF(C7="BPRS Bhakti Sumekar",Ref!C4,""))</f>
        <v>8.9999999999999993E-3</v>
      </c>
      <c r="J10" s="220">
        <f ca="1">Ref!AC18</f>
        <v>90800000</v>
      </c>
      <c r="K10" s="221"/>
      <c r="L10" s="37"/>
      <c r="M10" s="155" t="str">
        <f ca="1">Ref!Y10</f>
        <v>OK</v>
      </c>
      <c r="N10" s="156" t="s">
        <v>38</v>
      </c>
      <c r="O10" s="43"/>
      <c r="Q10" s="157"/>
    </row>
    <row r="11" spans="1:78" ht="15" customHeight="1" x14ac:dyDescent="0.25">
      <c r="A11" s="139" t="s">
        <v>18</v>
      </c>
      <c r="B11" s="136" t="s">
        <v>13</v>
      </c>
      <c r="C11" s="201"/>
      <c r="D11" s="23"/>
      <c r="G11" s="144"/>
      <c r="H11" s="21"/>
      <c r="I11" s="145"/>
      <c r="J11" s="145"/>
      <c r="K11" s="146"/>
      <c r="L11" s="16"/>
      <c r="M11" s="16"/>
      <c r="N11" s="147"/>
      <c r="O11" s="43"/>
      <c r="Q11" s="145"/>
    </row>
    <row r="12" spans="1:78" ht="15" customHeight="1" x14ac:dyDescent="0.25">
      <c r="A12" s="139" t="s">
        <v>15</v>
      </c>
      <c r="B12" s="136" t="s">
        <v>13</v>
      </c>
      <c r="C12" s="200" t="s">
        <v>180</v>
      </c>
      <c r="D12" s="23"/>
      <c r="E12" s="158"/>
      <c r="F12" s="159" t="s">
        <v>55</v>
      </c>
      <c r="G12" s="160" t="str">
        <f ca="1">Ref!AC10&amp;" Bulan"</f>
        <v>120 Bulan</v>
      </c>
      <c r="H12" s="21"/>
      <c r="I12" s="239" t="s">
        <v>26</v>
      </c>
      <c r="J12" s="240"/>
      <c r="K12" s="241"/>
      <c r="L12" s="16"/>
      <c r="M12" s="161" t="s">
        <v>41</v>
      </c>
      <c r="N12" s="149" t="s">
        <v>10</v>
      </c>
      <c r="O12" s="43"/>
    </row>
    <row r="13" spans="1:78" ht="15" customHeight="1" x14ac:dyDescent="0.25">
      <c r="A13" s="139" t="s">
        <v>17</v>
      </c>
      <c r="B13" s="136" t="s">
        <v>13</v>
      </c>
      <c r="C13" s="200"/>
      <c r="D13" s="23"/>
      <c r="E13" s="158"/>
      <c r="F13" s="159" t="s">
        <v>37</v>
      </c>
      <c r="G13" s="205">
        <v>120</v>
      </c>
      <c r="H13" s="21"/>
      <c r="I13" s="162" t="s">
        <v>4</v>
      </c>
      <c r="J13" s="236">
        <v>90800000</v>
      </c>
      <c r="K13" s="237"/>
      <c r="L13" s="16"/>
      <c r="M13" s="163">
        <f>N13/F10</f>
        <v>0.89935238095238101</v>
      </c>
      <c r="N13" s="164">
        <f>P13</f>
        <v>1573866.6666666667</v>
      </c>
      <c r="O13" s="64"/>
      <c r="P13" s="198">
        <f>(J13/G13)+(J13*10.8%)/12</f>
        <v>1573866.6666666667</v>
      </c>
    </row>
    <row r="14" spans="1:78" ht="15" customHeight="1" x14ac:dyDescent="0.25">
      <c r="A14" s="165"/>
      <c r="B14" s="136"/>
      <c r="C14" s="166"/>
      <c r="D14" s="23"/>
      <c r="G14" s="144"/>
      <c r="H14" s="21"/>
      <c r="I14" s="145"/>
      <c r="J14" s="145"/>
      <c r="K14" s="146"/>
      <c r="L14" s="16"/>
      <c r="M14" s="16"/>
      <c r="N14" s="147"/>
      <c r="O14" s="43"/>
    </row>
    <row r="15" spans="1:78" ht="15" customHeight="1" x14ac:dyDescent="0.25">
      <c r="A15" s="135" t="s">
        <v>53</v>
      </c>
      <c r="B15" s="136" t="s">
        <v>13</v>
      </c>
      <c r="C15" s="200" t="s">
        <v>19</v>
      </c>
      <c r="D15" s="23"/>
      <c r="E15" s="214" t="s">
        <v>60</v>
      </c>
      <c r="F15" s="214"/>
      <c r="G15" s="214"/>
      <c r="H15" s="21"/>
      <c r="I15" s="214" t="s">
        <v>12</v>
      </c>
      <c r="J15" s="214"/>
      <c r="K15" s="214"/>
      <c r="L15" s="16"/>
      <c r="M15" s="161" t="s">
        <v>41</v>
      </c>
      <c r="N15" s="149" t="s">
        <v>6</v>
      </c>
      <c r="O15" s="64"/>
      <c r="P15" s="64"/>
      <c r="R15" s="167"/>
    </row>
    <row r="16" spans="1:78" ht="15" customHeight="1" x14ac:dyDescent="0.25">
      <c r="A16" s="168" t="s">
        <v>108</v>
      </c>
      <c r="B16" s="169" t="s">
        <v>13</v>
      </c>
      <c r="C16" s="202" t="s">
        <v>139</v>
      </c>
      <c r="D16" s="23"/>
      <c r="E16" s="170"/>
      <c r="F16" s="171"/>
      <c r="G16" s="172"/>
      <c r="H16" s="173"/>
      <c r="I16" s="142" t="s">
        <v>4</v>
      </c>
      <c r="J16" s="235">
        <v>12250000</v>
      </c>
      <c r="K16" s="235"/>
      <c r="L16" s="16"/>
      <c r="M16" s="163">
        <f>IF(N16="DIBAWAH 100 RB",0,N16/F10)</f>
        <v>0.100647619047619</v>
      </c>
      <c r="N16" s="174">
        <f>F10-N13</f>
        <v>176133.33333333326</v>
      </c>
      <c r="O16" s="64"/>
      <c r="P16" s="167"/>
      <c r="Q16" s="175"/>
    </row>
    <row r="17" spans="1:78" ht="15" customHeight="1" x14ac:dyDescent="0.25">
      <c r="A17" s="168" t="s">
        <v>109</v>
      </c>
      <c r="B17" s="169" t="s">
        <v>13</v>
      </c>
      <c r="C17" s="176">
        <f>615000</f>
        <v>615000</v>
      </c>
      <c r="D17" s="23"/>
      <c r="E17" s="170" t="s">
        <v>9</v>
      </c>
      <c r="F17" s="177">
        <f>IF(AND(C$7="BPR Kota Madiun",C$18="POS"),Ref!E4,Ref!E3)</f>
        <v>5.0000000000000001E-3</v>
      </c>
      <c r="G17" s="178">
        <f>F17*$J$13</f>
        <v>454000</v>
      </c>
      <c r="H17" s="173"/>
      <c r="I17" s="16"/>
      <c r="J17" s="16"/>
      <c r="K17" s="16"/>
      <c r="L17" s="16"/>
      <c r="M17" s="16"/>
      <c r="N17" s="179"/>
      <c r="O17" s="36"/>
      <c r="P17" s="175"/>
      <c r="Q17" s="167"/>
      <c r="R17" s="167"/>
    </row>
    <row r="18" spans="1:78" ht="15" customHeight="1" x14ac:dyDescent="0.25">
      <c r="A18" s="139" t="s">
        <v>54</v>
      </c>
      <c r="B18" s="136" t="s">
        <v>13</v>
      </c>
      <c r="C18" s="200" t="s">
        <v>179</v>
      </c>
      <c r="D18" s="23"/>
      <c r="E18" s="170" t="s">
        <v>131</v>
      </c>
      <c r="F18" s="177">
        <f>IF(AND(C$7="BPR Kota Madiun",C$18="POS"),Ref!F4,Ref!F3)</f>
        <v>5.0000000000000001E-3</v>
      </c>
      <c r="G18" s="178">
        <f t="shared" ref="G18" si="0">F18*$J$13</f>
        <v>454000</v>
      </c>
      <c r="H18" s="173"/>
      <c r="I18" s="16"/>
      <c r="L18" s="16"/>
      <c r="M18" s="16"/>
      <c r="N18" s="179"/>
      <c r="O18" s="36"/>
      <c r="P18" s="175"/>
      <c r="Q18" s="167"/>
      <c r="R18" s="167"/>
    </row>
    <row r="19" spans="1:78" ht="15" customHeight="1" x14ac:dyDescent="0.25">
      <c r="D19" s="23"/>
      <c r="E19" s="170" t="s">
        <v>5</v>
      </c>
      <c r="F19" s="177">
        <f ca="1">Ref!H3</f>
        <v>0.315</v>
      </c>
      <c r="G19" s="178">
        <f ca="1">F19*J13</f>
        <v>28602000</v>
      </c>
      <c r="H19" s="173"/>
      <c r="I19" s="16"/>
      <c r="J19" s="16"/>
      <c r="K19" s="16"/>
      <c r="L19" s="16"/>
      <c r="M19" s="16"/>
      <c r="N19" s="179"/>
      <c r="O19" s="36"/>
      <c r="P19" s="175"/>
      <c r="Q19" s="167"/>
      <c r="R19" s="167"/>
    </row>
    <row r="20" spans="1:78" ht="15" customHeight="1" x14ac:dyDescent="0.25">
      <c r="D20" s="23"/>
      <c r="E20" s="180"/>
      <c r="F20" s="181" t="s">
        <v>175</v>
      </c>
      <c r="G20" s="182">
        <v>1500000</v>
      </c>
      <c r="H20" s="173"/>
      <c r="I20" s="214" t="s">
        <v>59</v>
      </c>
      <c r="J20" s="214"/>
      <c r="K20" s="214"/>
      <c r="L20" s="16"/>
      <c r="M20" s="183"/>
      <c r="N20" s="133"/>
      <c r="O20" s="36"/>
      <c r="Q20" s="145"/>
      <c r="R20" s="167"/>
    </row>
    <row r="21" spans="1:78" ht="15" customHeight="1" x14ac:dyDescent="0.25">
      <c r="A21" s="135" t="s">
        <v>103</v>
      </c>
      <c r="B21" s="16" t="s">
        <v>13</v>
      </c>
      <c r="C21" s="210"/>
      <c r="D21" s="23"/>
      <c r="E21" s="184" t="s">
        <v>43</v>
      </c>
      <c r="F21" s="206">
        <v>1</v>
      </c>
      <c r="G21" s="178">
        <f>N13*F21</f>
        <v>1573866.6666666667</v>
      </c>
      <c r="H21" s="173"/>
      <c r="I21" s="142" t="s">
        <v>4</v>
      </c>
      <c r="J21" s="231">
        <f ca="1">J13-SUM(G16:G21)-J16-C17</f>
        <v>45351133.333333328</v>
      </c>
      <c r="K21" s="231"/>
      <c r="L21" s="16"/>
      <c r="M21" s="207"/>
      <c r="N21" s="185" t="s">
        <v>184</v>
      </c>
      <c r="O21" s="36"/>
      <c r="P21" s="175"/>
    </row>
    <row r="22" spans="1:78" ht="15" customHeight="1" x14ac:dyDescent="0.25">
      <c r="A22" s="218" t="s">
        <v>183</v>
      </c>
      <c r="B22" s="218"/>
      <c r="C22" s="218"/>
      <c r="D22" s="23"/>
      <c r="E22" s="170" t="s">
        <v>104</v>
      </c>
      <c r="F22" s="238"/>
      <c r="G22" s="238"/>
      <c r="H22" s="173"/>
      <c r="L22" s="16"/>
      <c r="M22" s="179"/>
      <c r="N22" s="186"/>
      <c r="O22" s="36"/>
      <c r="Q22" s="145"/>
    </row>
    <row r="23" spans="1:78" ht="15" customHeight="1" x14ac:dyDescent="0.25">
      <c r="A23" s="219"/>
      <c r="B23" s="219"/>
      <c r="C23" s="219"/>
      <c r="D23" s="23"/>
      <c r="E23" s="224" t="s">
        <v>178</v>
      </c>
      <c r="F23" s="225"/>
      <c r="G23" s="225"/>
      <c r="H23" s="225"/>
      <c r="I23" s="225"/>
      <c r="J23" s="225"/>
      <c r="K23" s="225"/>
      <c r="L23" s="225"/>
      <c r="M23" s="225"/>
      <c r="N23" s="226"/>
      <c r="O23" s="36"/>
    </row>
    <row r="24" spans="1:78" ht="15" customHeight="1" x14ac:dyDescent="0.25">
      <c r="A24" s="187" t="s">
        <v>105</v>
      </c>
      <c r="B24" s="23" t="s">
        <v>13</v>
      </c>
      <c r="C24" s="208"/>
      <c r="D24" s="23"/>
      <c r="E24" s="246" t="s">
        <v>173</v>
      </c>
      <c r="F24" s="246"/>
      <c r="G24" s="247">
        <f>I24*J13</f>
        <v>5448000</v>
      </c>
      <c r="H24" s="247"/>
      <c r="I24" s="248">
        <f>Ref!D3</f>
        <v>0.06</v>
      </c>
      <c r="J24" s="249"/>
      <c r="K24" s="195"/>
      <c r="L24" s="102"/>
      <c r="M24" s="250"/>
      <c r="N24" s="251"/>
      <c r="O24" s="36"/>
    </row>
    <row r="25" spans="1:78" ht="15" customHeight="1" x14ac:dyDescent="0.25">
      <c r="A25" s="168" t="s">
        <v>106</v>
      </c>
      <c r="B25" s="16" t="s">
        <v>13</v>
      </c>
      <c r="C25" s="209"/>
      <c r="E25" s="246" t="s">
        <v>174</v>
      </c>
      <c r="F25" s="246"/>
      <c r="G25" s="247">
        <f>0.4%*9*J13</f>
        <v>3268800.0000000005</v>
      </c>
      <c r="H25" s="247"/>
      <c r="I25" s="248">
        <f>0.4%*ROUNDUP(G13/12,0)</f>
        <v>0.04</v>
      </c>
      <c r="J25" s="252"/>
      <c r="K25" s="102"/>
      <c r="L25" s="102"/>
      <c r="M25" s="250"/>
      <c r="N25" s="251"/>
      <c r="O25" s="77"/>
    </row>
    <row r="26" spans="1:78" s="23" customFormat="1" ht="15" customHeight="1" x14ac:dyDescent="0.25">
      <c r="A26" s="168" t="s">
        <v>107</v>
      </c>
      <c r="B26" s="23" t="s">
        <v>13</v>
      </c>
      <c r="C26" s="209" t="s">
        <v>102</v>
      </c>
      <c r="E26" s="246" t="s">
        <v>171</v>
      </c>
      <c r="F26" s="246"/>
      <c r="G26" s="247">
        <f ca="1">I26*J13</f>
        <v>19522000</v>
      </c>
      <c r="H26" s="247"/>
      <c r="I26" s="253">
        <f ca="1">F19-I24-I25</f>
        <v>0.215</v>
      </c>
      <c r="J26" s="254"/>
      <c r="K26" s="254"/>
      <c r="L26" s="254"/>
      <c r="M26" s="254"/>
      <c r="N26" s="254"/>
      <c r="O26" s="80"/>
      <c r="P26" s="132"/>
      <c r="Q26" s="132"/>
      <c r="R26" s="132"/>
      <c r="S26" s="132"/>
      <c r="T26" s="132"/>
      <c r="U26" s="132"/>
      <c r="V26" s="132"/>
      <c r="W26" s="13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192"/>
      <c r="BY26" s="192"/>
      <c r="BZ26" s="192"/>
    </row>
    <row r="27" spans="1:78" s="76" customFormat="1" ht="15" customHeight="1" x14ac:dyDescent="0.25">
      <c r="E27" s="255"/>
      <c r="F27" s="255"/>
      <c r="G27" s="102"/>
      <c r="H27" s="255"/>
      <c r="I27" s="255"/>
      <c r="J27" s="255"/>
      <c r="K27" s="254"/>
      <c r="L27" s="254"/>
      <c r="M27" s="254"/>
      <c r="N27" s="254"/>
      <c r="O27" s="80"/>
      <c r="P27" s="132"/>
      <c r="Q27" s="132"/>
      <c r="R27" s="132"/>
      <c r="S27" s="132"/>
      <c r="T27" s="132"/>
      <c r="U27" s="132"/>
      <c r="V27" s="132"/>
      <c r="W27" s="132"/>
      <c r="X27" s="23"/>
      <c r="Y27" s="23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  <c r="BX27" s="194"/>
      <c r="BY27" s="194"/>
      <c r="BZ27" s="194"/>
    </row>
    <row r="28" spans="1:78" s="76" customFormat="1" ht="15" customHeight="1" x14ac:dyDescent="0.25">
      <c r="E28" s="255"/>
      <c r="F28" s="254"/>
      <c r="G28" s="256"/>
      <c r="H28" s="255"/>
      <c r="I28" s="255"/>
      <c r="J28" s="255"/>
      <c r="K28" s="257"/>
      <c r="L28" s="257"/>
      <c r="M28" s="257"/>
      <c r="N28" s="257"/>
      <c r="O28" s="80"/>
      <c r="P28" s="132"/>
      <c r="Q28" s="132"/>
      <c r="R28" s="132"/>
      <c r="S28" s="132"/>
      <c r="T28" s="132"/>
      <c r="U28" s="132"/>
      <c r="V28" s="132"/>
      <c r="W28" s="132"/>
      <c r="X28" s="23"/>
      <c r="Y28" s="23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194"/>
      <c r="BR28" s="194"/>
      <c r="BS28" s="194"/>
      <c r="BT28" s="194"/>
      <c r="BU28" s="194"/>
      <c r="BV28" s="194"/>
      <c r="BW28" s="194"/>
      <c r="BX28" s="194"/>
      <c r="BY28" s="194"/>
      <c r="BZ28" s="194"/>
    </row>
    <row r="29" spans="1:78" s="76" customFormat="1" ht="15" customHeight="1" x14ac:dyDescent="0.25">
      <c r="D29" s="80"/>
      <c r="E29" s="255"/>
      <c r="F29" s="255"/>
      <c r="G29" s="255"/>
      <c r="H29" s="257"/>
      <c r="I29" s="257"/>
      <c r="J29" s="257"/>
      <c r="K29" s="257"/>
      <c r="L29" s="257"/>
      <c r="M29" s="257"/>
      <c r="N29" s="257"/>
      <c r="O29" s="80"/>
      <c r="P29" s="132"/>
      <c r="Q29" s="132"/>
      <c r="R29" s="132"/>
      <c r="S29" s="132"/>
      <c r="T29" s="132"/>
      <c r="U29" s="132"/>
      <c r="V29" s="132"/>
      <c r="W29" s="132"/>
      <c r="X29" s="23"/>
      <c r="Y29" s="23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4"/>
      <c r="AX29" s="194"/>
      <c r="AY29" s="194"/>
      <c r="AZ29" s="194"/>
      <c r="BA29" s="194"/>
      <c r="BB29" s="194"/>
      <c r="BC29" s="194"/>
      <c r="BD29" s="194"/>
      <c r="BE29" s="194"/>
      <c r="BF29" s="194"/>
      <c r="BG29" s="194"/>
      <c r="BH29" s="194"/>
      <c r="BI29" s="194"/>
      <c r="BJ29" s="194"/>
      <c r="BK29" s="194"/>
      <c r="BL29" s="194"/>
      <c r="BM29" s="194"/>
      <c r="BN29" s="194"/>
      <c r="BO29" s="194"/>
      <c r="BP29" s="194"/>
      <c r="BQ29" s="194"/>
      <c r="BR29" s="194"/>
      <c r="BS29" s="194"/>
      <c r="BT29" s="194"/>
      <c r="BU29" s="194"/>
      <c r="BV29" s="194"/>
      <c r="BW29" s="194"/>
      <c r="BX29" s="194"/>
      <c r="BY29" s="194"/>
      <c r="BZ29" s="194"/>
    </row>
    <row r="30" spans="1:78" s="76" customFormat="1" ht="15" customHeight="1" x14ac:dyDescent="0.25">
      <c r="D30" s="80"/>
      <c r="E30" s="255"/>
      <c r="F30" s="255"/>
      <c r="G30" s="255"/>
      <c r="H30" s="257"/>
      <c r="I30" s="257"/>
      <c r="J30" s="257"/>
      <c r="K30" s="257"/>
      <c r="L30" s="257"/>
      <c r="M30" s="257"/>
      <c r="N30" s="257"/>
      <c r="O30" s="80"/>
      <c r="P30" s="132"/>
      <c r="Q30" s="132"/>
      <c r="R30" s="132"/>
      <c r="S30" s="132"/>
      <c r="T30" s="132"/>
      <c r="U30" s="132"/>
      <c r="V30" s="132"/>
      <c r="W30" s="132"/>
      <c r="X30" s="23"/>
      <c r="Y30" s="23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194"/>
      <c r="BA30" s="194"/>
      <c r="BB30" s="194"/>
      <c r="BC30" s="194"/>
      <c r="BD30" s="194"/>
      <c r="BE30" s="194"/>
      <c r="BF30" s="194"/>
      <c r="BG30" s="194"/>
      <c r="BH30" s="194"/>
      <c r="BI30" s="194"/>
      <c r="BJ30" s="194"/>
      <c r="BK30" s="194"/>
      <c r="BL30" s="194"/>
      <c r="BM30" s="194"/>
      <c r="BN30" s="194"/>
      <c r="BO30" s="194"/>
      <c r="BP30" s="194"/>
      <c r="BQ30" s="194"/>
      <c r="BR30" s="194"/>
      <c r="BS30" s="194"/>
      <c r="BT30" s="194"/>
      <c r="BU30" s="194"/>
      <c r="BV30" s="194"/>
      <c r="BW30" s="194"/>
      <c r="BX30" s="194"/>
      <c r="BY30" s="194"/>
      <c r="BZ30" s="194"/>
    </row>
    <row r="31" spans="1:78" s="76" customFormat="1" ht="15" customHeight="1" x14ac:dyDescent="0.25">
      <c r="D31" s="80"/>
      <c r="E31" s="80"/>
      <c r="H31" s="80"/>
      <c r="I31" s="80"/>
      <c r="J31" s="80"/>
      <c r="K31" s="80"/>
      <c r="L31" s="80"/>
      <c r="M31" s="80"/>
      <c r="N31" s="80"/>
      <c r="O31" s="77"/>
      <c r="P31" s="132"/>
      <c r="Q31" s="132"/>
      <c r="R31" s="132"/>
      <c r="S31" s="132"/>
      <c r="T31" s="132"/>
      <c r="U31" s="132"/>
      <c r="V31" s="132"/>
      <c r="W31" s="132"/>
      <c r="X31" s="23"/>
      <c r="Y31" s="23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4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4"/>
      <c r="BL31" s="194"/>
      <c r="BM31" s="194"/>
      <c r="BN31" s="194"/>
      <c r="BO31" s="194"/>
      <c r="BP31" s="194"/>
      <c r="BQ31" s="194"/>
      <c r="BR31" s="194"/>
      <c r="BS31" s="194"/>
      <c r="BT31" s="194"/>
      <c r="BU31" s="194"/>
      <c r="BV31" s="194"/>
      <c r="BW31" s="194"/>
      <c r="BX31" s="194"/>
      <c r="BY31" s="194"/>
      <c r="BZ31" s="194"/>
    </row>
    <row r="32" spans="1:78" s="76" customFormat="1" ht="15" customHeight="1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P32" s="132"/>
      <c r="Q32" s="132"/>
      <c r="R32" s="132"/>
      <c r="S32" s="132"/>
      <c r="T32" s="132"/>
      <c r="U32" s="132"/>
      <c r="V32" s="132"/>
      <c r="W32" s="132"/>
      <c r="X32" s="23"/>
      <c r="Y32" s="23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  <c r="AV32" s="194"/>
      <c r="AW32" s="194"/>
      <c r="AX32" s="194"/>
      <c r="AY32" s="194"/>
      <c r="AZ32" s="194"/>
      <c r="BA32" s="194"/>
      <c r="BB32" s="194"/>
      <c r="BC32" s="194"/>
      <c r="BD32" s="194"/>
      <c r="BE32" s="194"/>
      <c r="BF32" s="194"/>
      <c r="BG32" s="194"/>
      <c r="BH32" s="194"/>
      <c r="BI32" s="194"/>
      <c r="BJ32" s="194"/>
      <c r="BK32" s="194"/>
      <c r="BL32" s="194"/>
      <c r="BM32" s="194"/>
      <c r="BN32" s="194"/>
      <c r="BO32" s="194"/>
      <c r="BP32" s="194"/>
      <c r="BQ32" s="194"/>
      <c r="BR32" s="194"/>
      <c r="BS32" s="194"/>
      <c r="BT32" s="194"/>
      <c r="BU32" s="194"/>
      <c r="BV32" s="194"/>
      <c r="BW32" s="194"/>
      <c r="BX32" s="194"/>
      <c r="BY32" s="194"/>
      <c r="BZ32" s="194"/>
    </row>
    <row r="33" spans="1:78" s="76" customFormat="1" ht="15" customHeight="1" x14ac:dyDescent="0.25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132"/>
      <c r="Q33" s="132"/>
      <c r="R33" s="132"/>
      <c r="S33" s="132"/>
      <c r="T33" s="132"/>
      <c r="U33" s="132"/>
      <c r="V33" s="132"/>
      <c r="W33" s="132"/>
      <c r="X33" s="23"/>
      <c r="Y33" s="23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4"/>
      <c r="AX33" s="194"/>
      <c r="AY33" s="194"/>
      <c r="AZ33" s="194"/>
      <c r="BA33" s="194"/>
      <c r="BB33" s="194"/>
      <c r="BC33" s="194"/>
      <c r="BD33" s="194"/>
      <c r="BE33" s="194"/>
      <c r="BF33" s="194"/>
      <c r="BG33" s="194"/>
      <c r="BH33" s="194"/>
      <c r="BI33" s="194"/>
      <c r="BJ33" s="194"/>
      <c r="BK33" s="194"/>
      <c r="BL33" s="194"/>
      <c r="BM33" s="194"/>
      <c r="BN33" s="194"/>
      <c r="BO33" s="194"/>
      <c r="BP33" s="194"/>
      <c r="BQ33" s="194"/>
      <c r="BR33" s="194"/>
      <c r="BS33" s="194"/>
      <c r="BT33" s="194"/>
      <c r="BU33" s="194"/>
      <c r="BV33" s="194"/>
      <c r="BW33" s="194"/>
      <c r="BX33" s="194"/>
      <c r="BY33" s="194"/>
      <c r="BZ33" s="194"/>
    </row>
    <row r="34" spans="1:78" s="76" customFormat="1" ht="15" customHeight="1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132"/>
      <c r="Q34" s="132"/>
      <c r="R34" s="132"/>
      <c r="S34" s="132"/>
      <c r="T34" s="132"/>
      <c r="U34" s="132"/>
      <c r="V34" s="132"/>
      <c r="W34" s="132"/>
      <c r="X34" s="23"/>
      <c r="Y34" s="23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  <c r="AV34" s="194"/>
      <c r="AW34" s="194"/>
      <c r="AX34" s="194"/>
      <c r="AY34" s="194"/>
      <c r="AZ34" s="194"/>
      <c r="BA34" s="194"/>
      <c r="BB34" s="194"/>
      <c r="BC34" s="194"/>
      <c r="BD34" s="194"/>
      <c r="BE34" s="194"/>
      <c r="BF34" s="194"/>
      <c r="BG34" s="194"/>
      <c r="BH34" s="194"/>
      <c r="BI34" s="194"/>
      <c r="BJ34" s="194"/>
      <c r="BK34" s="194"/>
      <c r="BL34" s="194"/>
      <c r="BM34" s="194"/>
      <c r="BN34" s="194"/>
      <c r="BO34" s="194"/>
      <c r="BP34" s="194"/>
      <c r="BQ34" s="194"/>
      <c r="BR34" s="194"/>
      <c r="BS34" s="194"/>
      <c r="BT34" s="194"/>
      <c r="BU34" s="194"/>
      <c r="BV34" s="194"/>
      <c r="BW34" s="194"/>
      <c r="BX34" s="194"/>
      <c r="BY34" s="194"/>
      <c r="BZ34" s="194"/>
    </row>
    <row r="35" spans="1:78" s="23" customFormat="1" ht="15" customHeight="1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188"/>
      <c r="P35" s="132"/>
      <c r="Q35" s="132"/>
      <c r="R35" s="132"/>
      <c r="S35" s="132"/>
      <c r="T35" s="132"/>
      <c r="U35" s="132"/>
      <c r="V35" s="132"/>
      <c r="W35" s="13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  <c r="BG35" s="192"/>
      <c r="BH35" s="192"/>
      <c r="BI35" s="192"/>
      <c r="BJ35" s="192"/>
      <c r="BK35" s="192"/>
      <c r="BL35" s="192"/>
      <c r="BM35" s="192"/>
      <c r="BN35" s="192"/>
      <c r="BO35" s="192"/>
      <c r="BP35" s="192"/>
      <c r="BQ35" s="192"/>
      <c r="BR35" s="192"/>
      <c r="BS35" s="192"/>
      <c r="BT35" s="192"/>
      <c r="BU35" s="192"/>
      <c r="BV35" s="192"/>
      <c r="BW35" s="192"/>
      <c r="BX35" s="192"/>
      <c r="BY35" s="192"/>
      <c r="BZ35" s="192"/>
    </row>
    <row r="36" spans="1:78" s="23" customFormat="1" ht="15" customHeight="1" x14ac:dyDescent="0.2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P36" s="132"/>
      <c r="Q36" s="132"/>
      <c r="R36" s="132"/>
      <c r="S36" s="132"/>
      <c r="T36" s="132"/>
      <c r="U36" s="132"/>
      <c r="V36" s="132"/>
      <c r="W36" s="13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  <c r="BS36" s="192"/>
      <c r="BT36" s="192"/>
      <c r="BU36" s="192"/>
      <c r="BV36" s="192"/>
      <c r="BW36" s="192"/>
      <c r="BX36" s="192"/>
      <c r="BY36" s="192"/>
      <c r="BZ36" s="192"/>
    </row>
    <row r="37" spans="1:78" s="23" customFormat="1" ht="15" customHeight="1" x14ac:dyDescent="0.2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132"/>
      <c r="Q37" s="132"/>
      <c r="R37" s="132"/>
      <c r="S37" s="132"/>
      <c r="T37" s="132"/>
      <c r="U37" s="132"/>
      <c r="V37" s="132"/>
      <c r="W37" s="13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192"/>
      <c r="BJ37" s="192"/>
      <c r="BK37" s="192"/>
      <c r="BL37" s="192"/>
      <c r="BM37" s="192"/>
      <c r="BN37" s="192"/>
      <c r="BO37" s="192"/>
      <c r="BP37" s="192"/>
      <c r="BQ37" s="192"/>
      <c r="BR37" s="192"/>
      <c r="BS37" s="192"/>
      <c r="BT37" s="192"/>
      <c r="BU37" s="192"/>
      <c r="BV37" s="192"/>
      <c r="BW37" s="192"/>
      <c r="BX37" s="192"/>
      <c r="BY37" s="192"/>
      <c r="BZ37" s="192"/>
    </row>
    <row r="38" spans="1:78" s="23" customFormat="1" ht="15" customHeight="1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188"/>
      <c r="P38" s="132"/>
      <c r="Q38" s="132"/>
      <c r="R38" s="132"/>
      <c r="S38" s="132"/>
      <c r="T38" s="132"/>
      <c r="U38" s="132"/>
      <c r="V38" s="132"/>
      <c r="W38" s="13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2"/>
      <c r="BK38" s="192"/>
      <c r="BL38" s="192"/>
      <c r="BM38" s="192"/>
      <c r="BN38" s="192"/>
      <c r="BO38" s="192"/>
      <c r="BP38" s="192"/>
      <c r="BQ38" s="192"/>
      <c r="BR38" s="192"/>
      <c r="BS38" s="192"/>
      <c r="BT38" s="192"/>
      <c r="BU38" s="192"/>
      <c r="BV38" s="192"/>
      <c r="BW38" s="192"/>
      <c r="BX38" s="192"/>
      <c r="BY38" s="192"/>
      <c r="BZ38" s="192"/>
    </row>
    <row r="39" spans="1:78" s="23" customFormat="1" ht="15" customHeight="1" x14ac:dyDescent="0.2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P39" s="132"/>
      <c r="Q39" s="132"/>
      <c r="R39" s="195"/>
      <c r="S39" s="132"/>
      <c r="T39" s="132"/>
      <c r="U39" s="132"/>
      <c r="V39" s="132"/>
      <c r="W39" s="13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  <c r="BH39" s="192"/>
      <c r="BI39" s="192"/>
      <c r="BJ39" s="192"/>
      <c r="BK39" s="192"/>
      <c r="BL39" s="192"/>
      <c r="BM39" s="192"/>
      <c r="BN39" s="192"/>
      <c r="BO39" s="192"/>
      <c r="BP39" s="192"/>
      <c r="BQ39" s="192"/>
      <c r="BR39" s="192"/>
      <c r="BS39" s="192"/>
      <c r="BT39" s="192"/>
      <c r="BU39" s="192"/>
      <c r="BV39" s="192"/>
      <c r="BW39" s="192"/>
      <c r="BX39" s="192"/>
      <c r="BY39" s="192"/>
      <c r="BZ39" s="192"/>
    </row>
    <row r="40" spans="1:78" s="23" customFormat="1" ht="15" customHeight="1" x14ac:dyDescent="0.25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132"/>
      <c r="Q40" s="132"/>
      <c r="R40" s="132"/>
      <c r="S40" s="132"/>
      <c r="T40" s="132"/>
      <c r="U40" s="132"/>
      <c r="V40" s="132"/>
      <c r="W40" s="13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BP40" s="192"/>
      <c r="BQ40" s="192"/>
      <c r="BR40" s="192"/>
      <c r="BS40" s="192"/>
      <c r="BT40" s="192"/>
      <c r="BU40" s="192"/>
      <c r="BV40" s="192"/>
      <c r="BW40" s="192"/>
      <c r="BX40" s="192"/>
      <c r="BY40" s="192"/>
      <c r="BZ40" s="192"/>
    </row>
    <row r="41" spans="1:78" s="23" customFormat="1" ht="15" customHeight="1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188"/>
      <c r="P41" s="132"/>
      <c r="Q41" s="132"/>
      <c r="R41" s="132"/>
      <c r="S41" s="132"/>
      <c r="T41" s="132"/>
      <c r="U41" s="132"/>
      <c r="V41" s="132"/>
      <c r="W41" s="13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  <c r="BG41" s="192"/>
      <c r="BH41" s="192"/>
      <c r="BI41" s="192"/>
      <c r="BJ41" s="192"/>
      <c r="BK41" s="192"/>
      <c r="BL41" s="192"/>
      <c r="BM41" s="192"/>
      <c r="BN41" s="192"/>
      <c r="BO41" s="192"/>
      <c r="BP41" s="192"/>
      <c r="BQ41" s="192"/>
      <c r="BR41" s="192"/>
      <c r="BS41" s="192"/>
      <c r="BT41" s="192"/>
      <c r="BU41" s="192"/>
      <c r="BV41" s="192"/>
      <c r="BW41" s="192"/>
      <c r="BX41" s="192"/>
      <c r="BY41" s="192"/>
      <c r="BZ41" s="192"/>
    </row>
    <row r="42" spans="1:78" s="23" customFormat="1" ht="15" customHeight="1" x14ac:dyDescent="0.25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188"/>
      <c r="P42" s="132"/>
      <c r="Q42" s="132"/>
      <c r="R42" s="132"/>
      <c r="S42" s="132"/>
      <c r="T42" s="132"/>
      <c r="U42" s="132"/>
      <c r="V42" s="132"/>
      <c r="W42" s="13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</row>
    <row r="43" spans="1:78" s="23" customFormat="1" ht="15" customHeight="1" x14ac:dyDescent="0.25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188"/>
      <c r="P43" s="132"/>
      <c r="Q43" s="132"/>
      <c r="R43" s="132"/>
      <c r="S43" s="132"/>
      <c r="T43" s="132"/>
      <c r="U43" s="132"/>
      <c r="V43" s="132"/>
      <c r="W43" s="13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  <c r="BG43" s="192"/>
      <c r="BH43" s="192"/>
      <c r="BI43" s="192"/>
      <c r="BJ43" s="192"/>
      <c r="BK43" s="192"/>
      <c r="BL43" s="192"/>
      <c r="BM43" s="192"/>
      <c r="BN43" s="192"/>
      <c r="BO43" s="192"/>
      <c r="BP43" s="192"/>
      <c r="BQ43" s="192"/>
      <c r="BR43" s="192"/>
      <c r="BS43" s="192"/>
      <c r="BT43" s="192"/>
      <c r="BU43" s="192"/>
      <c r="BV43" s="192"/>
      <c r="BW43" s="192"/>
      <c r="BX43" s="192"/>
      <c r="BY43" s="192"/>
      <c r="BZ43" s="192"/>
    </row>
    <row r="44" spans="1:78" ht="15" customHeight="1" x14ac:dyDescent="0.25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</row>
    <row r="45" spans="1:78" ht="15" customHeight="1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13"/>
    </row>
    <row r="46" spans="1:78" ht="15" customHeight="1" x14ac:dyDescent="0.2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13"/>
    </row>
    <row r="47" spans="1:78" ht="15" customHeight="1" x14ac:dyDescent="0.25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13"/>
    </row>
    <row r="48" spans="1:78" ht="15" customHeight="1" x14ac:dyDescent="0.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13"/>
    </row>
    <row r="49" spans="1:15" ht="15" customHeight="1" x14ac:dyDescent="0.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13"/>
    </row>
    <row r="50" spans="1:15" ht="15" customHeight="1" x14ac:dyDescent="0.2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13"/>
    </row>
    <row r="51" spans="1:15" ht="15" customHeight="1" x14ac:dyDescent="0.25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13"/>
    </row>
    <row r="52" spans="1:15" ht="15" customHeight="1" x14ac:dyDescent="0.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13"/>
    </row>
    <row r="53" spans="1:15" ht="15" customHeight="1" x14ac:dyDescent="0.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13"/>
    </row>
    <row r="54" spans="1:15" ht="15" customHeight="1" x14ac:dyDescent="0.25">
      <c r="A54" s="23"/>
      <c r="B54" s="136"/>
      <c r="C54" s="23"/>
      <c r="D54" s="23"/>
      <c r="I54" s="16"/>
      <c r="J54" s="16"/>
      <c r="K54" s="16"/>
      <c r="L54" s="16"/>
      <c r="M54" s="16"/>
      <c r="N54" s="16"/>
      <c r="O54" s="13"/>
    </row>
    <row r="55" spans="1:15" ht="15" customHeight="1" x14ac:dyDescent="0.25">
      <c r="A55" s="23"/>
      <c r="B55" s="136"/>
      <c r="C55" s="23"/>
      <c r="D55" s="23"/>
      <c r="I55" s="16"/>
      <c r="J55" s="16"/>
      <c r="K55" s="16"/>
      <c r="L55" s="16"/>
      <c r="M55" s="16"/>
      <c r="N55" s="16"/>
      <c r="O55" s="13"/>
    </row>
    <row r="56" spans="1:15" ht="15" customHeight="1" x14ac:dyDescent="0.25">
      <c r="A56" s="23"/>
      <c r="B56" s="136"/>
      <c r="C56" s="23"/>
      <c r="D56" s="23"/>
      <c r="I56" s="16"/>
      <c r="J56" s="16"/>
      <c r="K56" s="16"/>
      <c r="L56" s="16"/>
      <c r="M56" s="16"/>
      <c r="N56" s="16"/>
      <c r="O56" s="13"/>
    </row>
    <row r="57" spans="1:15" ht="15" customHeight="1" x14ac:dyDescent="0.25">
      <c r="A57" s="23"/>
      <c r="B57" s="136"/>
      <c r="C57" s="23"/>
      <c r="D57" s="23"/>
      <c r="I57" s="16"/>
      <c r="J57" s="16"/>
      <c r="K57" s="16"/>
      <c r="L57" s="16"/>
      <c r="M57" s="16"/>
      <c r="N57" s="16"/>
      <c r="O57" s="13"/>
    </row>
    <row r="58" spans="1:15" ht="15" customHeight="1" x14ac:dyDescent="0.25">
      <c r="A58" s="23"/>
      <c r="B58" s="136"/>
      <c r="C58" s="23"/>
      <c r="D58" s="23"/>
      <c r="I58" s="16"/>
      <c r="J58" s="16"/>
      <c r="K58" s="16"/>
      <c r="L58" s="16"/>
      <c r="M58" s="16"/>
      <c r="N58" s="16"/>
      <c r="O58" s="13"/>
    </row>
    <row r="59" spans="1:15" ht="15" customHeight="1" x14ac:dyDescent="0.25">
      <c r="A59" s="23"/>
      <c r="B59" s="136"/>
      <c r="C59" s="23"/>
      <c r="D59" s="23"/>
      <c r="I59" s="16"/>
      <c r="J59" s="16"/>
      <c r="K59" s="16"/>
      <c r="L59" s="16"/>
      <c r="M59" s="16"/>
      <c r="N59" s="16"/>
      <c r="O59" s="13"/>
    </row>
    <row r="60" spans="1:15" ht="15" customHeight="1" x14ac:dyDescent="0.25">
      <c r="A60" s="23"/>
      <c r="B60" s="136"/>
      <c r="C60" s="23"/>
      <c r="D60" s="23"/>
      <c r="I60" s="16"/>
      <c r="J60" s="16"/>
      <c r="K60" s="16"/>
      <c r="L60" s="16"/>
      <c r="M60" s="16"/>
      <c r="N60" s="16"/>
      <c r="O60" s="13"/>
    </row>
    <row r="61" spans="1:15" ht="15" customHeight="1" x14ac:dyDescent="0.25">
      <c r="A61" s="23"/>
      <c r="B61" s="136"/>
      <c r="C61" s="23"/>
      <c r="D61" s="23"/>
      <c r="I61" s="16"/>
      <c r="J61" s="16"/>
      <c r="K61" s="16"/>
      <c r="L61" s="16"/>
      <c r="M61" s="16"/>
      <c r="N61" s="16"/>
      <c r="O61" s="13"/>
    </row>
    <row r="62" spans="1:15" ht="15" customHeight="1" x14ac:dyDescent="0.25">
      <c r="A62" s="23"/>
      <c r="B62" s="136"/>
      <c r="C62" s="23"/>
      <c r="D62" s="23"/>
      <c r="I62" s="16"/>
      <c r="J62" s="16"/>
      <c r="K62" s="16"/>
      <c r="L62" s="16"/>
      <c r="M62" s="16"/>
      <c r="N62" s="16"/>
      <c r="O62" s="13"/>
    </row>
    <row r="63" spans="1:15" ht="15" customHeight="1" x14ac:dyDescent="0.25">
      <c r="A63" s="23"/>
      <c r="B63" s="136"/>
      <c r="C63" s="23"/>
      <c r="D63" s="23"/>
      <c r="I63" s="16"/>
      <c r="J63" s="16"/>
      <c r="K63" s="16"/>
      <c r="L63" s="16"/>
      <c r="M63" s="16"/>
      <c r="N63" s="16"/>
      <c r="O63" s="13"/>
    </row>
    <row r="64" spans="1:15" ht="15" customHeight="1" x14ac:dyDescent="0.25">
      <c r="A64" s="23"/>
      <c r="B64" s="136"/>
      <c r="C64" s="23"/>
      <c r="D64" s="23"/>
      <c r="I64" s="16"/>
      <c r="J64" s="16"/>
      <c r="K64" s="16"/>
      <c r="L64" s="16"/>
      <c r="M64" s="16"/>
      <c r="N64" s="16"/>
      <c r="O64" s="13"/>
    </row>
    <row r="65" spans="1:15" ht="15" customHeight="1" x14ac:dyDescent="0.25">
      <c r="A65" s="189"/>
      <c r="B65" s="136"/>
      <c r="C65" s="23"/>
      <c r="D65" s="23"/>
      <c r="I65" s="16"/>
      <c r="J65" s="16"/>
      <c r="K65" s="16"/>
      <c r="L65" s="16"/>
      <c r="M65" s="16"/>
      <c r="N65" s="16"/>
      <c r="O65" s="13"/>
    </row>
    <row r="66" spans="1:15" ht="15" customHeight="1" x14ac:dyDescent="0.25">
      <c r="A66" s="23"/>
      <c r="B66" s="136"/>
      <c r="C66" s="23"/>
      <c r="D66" s="23"/>
      <c r="I66" s="16"/>
      <c r="J66" s="16"/>
      <c r="K66" s="16"/>
      <c r="L66" s="16"/>
      <c r="M66" s="16"/>
      <c r="N66" s="16"/>
      <c r="O66" s="13"/>
    </row>
    <row r="67" spans="1:15" ht="15" customHeight="1" x14ac:dyDescent="0.25">
      <c r="A67" s="23"/>
      <c r="B67" s="136"/>
      <c r="C67" s="23"/>
      <c r="D67" s="23"/>
      <c r="I67" s="16"/>
      <c r="J67" s="16"/>
      <c r="K67" s="16"/>
      <c r="L67" s="16"/>
      <c r="M67" s="16"/>
      <c r="N67" s="16"/>
      <c r="O67" s="13"/>
    </row>
    <row r="68" spans="1:15" ht="15" customHeight="1" x14ac:dyDescent="0.25">
      <c r="A68" s="23"/>
      <c r="B68" s="136"/>
      <c r="C68" s="23"/>
      <c r="D68" s="23"/>
      <c r="I68" s="16"/>
      <c r="J68" s="16"/>
      <c r="K68" s="16"/>
      <c r="L68" s="16"/>
      <c r="M68" s="16"/>
      <c r="N68" s="16"/>
      <c r="O68" s="13"/>
    </row>
    <row r="69" spans="1:15" ht="15" customHeight="1" x14ac:dyDescent="0.25">
      <c r="A69" s="23"/>
      <c r="B69" s="136"/>
      <c r="C69" s="23"/>
      <c r="D69" s="23"/>
      <c r="I69" s="16"/>
      <c r="J69" s="16"/>
      <c r="K69" s="16"/>
      <c r="L69" s="16"/>
      <c r="M69" s="16"/>
      <c r="N69" s="16"/>
      <c r="O69" s="13"/>
    </row>
    <row r="70" spans="1:15" ht="15" customHeight="1" x14ac:dyDescent="0.25">
      <c r="A70" s="23"/>
      <c r="B70" s="136"/>
      <c r="C70" s="23"/>
      <c r="D70" s="23"/>
      <c r="I70" s="16"/>
      <c r="J70" s="16"/>
      <c r="K70" s="16"/>
      <c r="L70" s="16"/>
      <c r="M70" s="16"/>
      <c r="N70" s="16"/>
      <c r="O70" s="13"/>
    </row>
    <row r="71" spans="1:15" ht="15" customHeight="1" x14ac:dyDescent="0.25">
      <c r="A71" s="23"/>
      <c r="B71" s="136"/>
      <c r="C71" s="23"/>
      <c r="D71" s="23"/>
      <c r="I71" s="16"/>
      <c r="J71" s="16"/>
      <c r="K71" s="16"/>
      <c r="L71" s="16"/>
      <c r="M71" s="16"/>
      <c r="N71" s="16"/>
      <c r="O71" s="13"/>
    </row>
    <row r="72" spans="1:15" ht="15" customHeight="1" x14ac:dyDescent="0.25">
      <c r="A72" s="23"/>
      <c r="B72" s="136"/>
      <c r="C72" s="23"/>
      <c r="D72" s="23"/>
      <c r="I72" s="16"/>
      <c r="J72" s="16"/>
      <c r="K72" s="16"/>
      <c r="L72" s="16"/>
      <c r="M72" s="16"/>
      <c r="N72" s="16"/>
      <c r="O72" s="13"/>
    </row>
    <row r="73" spans="1:15" ht="15" customHeight="1" x14ac:dyDescent="0.25">
      <c r="A73" s="23"/>
      <c r="B73" s="136"/>
      <c r="C73" s="23"/>
      <c r="D73" s="23"/>
      <c r="I73" s="16"/>
      <c r="J73" s="16"/>
      <c r="K73" s="16"/>
      <c r="L73" s="16"/>
      <c r="M73" s="16"/>
      <c r="N73" s="16"/>
      <c r="O73" s="13"/>
    </row>
    <row r="74" spans="1:15" ht="15" customHeight="1" x14ac:dyDescent="0.25">
      <c r="A74" s="23"/>
      <c r="B74" s="136"/>
      <c r="C74" s="23"/>
      <c r="D74" s="23"/>
      <c r="I74" s="16"/>
      <c r="J74" s="16"/>
      <c r="K74" s="16"/>
      <c r="L74" s="16"/>
      <c r="M74" s="16"/>
      <c r="N74" s="16"/>
      <c r="O74" s="13"/>
    </row>
    <row r="75" spans="1:15" ht="15" customHeight="1" x14ac:dyDescent="0.25">
      <c r="A75" s="23"/>
      <c r="B75" s="136"/>
      <c r="C75" s="23"/>
      <c r="D75" s="23"/>
      <c r="I75" s="16"/>
      <c r="J75" s="16"/>
      <c r="K75" s="16"/>
      <c r="L75" s="16"/>
      <c r="M75" s="16"/>
      <c r="N75" s="16"/>
      <c r="O75" s="13"/>
    </row>
    <row r="76" spans="1:15" ht="15" customHeight="1" x14ac:dyDescent="0.25">
      <c r="A76" s="23"/>
      <c r="B76" s="136"/>
      <c r="C76" s="23"/>
      <c r="D76" s="23"/>
      <c r="I76" s="16"/>
      <c r="J76" s="16"/>
      <c r="K76" s="16"/>
      <c r="L76" s="16"/>
      <c r="M76" s="16"/>
      <c r="N76" s="16"/>
      <c r="O76" s="13"/>
    </row>
    <row r="77" spans="1:15" ht="15" customHeight="1" x14ac:dyDescent="0.25">
      <c r="A77" s="23"/>
      <c r="B77" s="136"/>
      <c r="C77" s="23"/>
      <c r="D77" s="23"/>
      <c r="I77" s="16"/>
      <c r="J77" s="16"/>
      <c r="K77" s="16"/>
      <c r="L77" s="16"/>
      <c r="M77" s="16"/>
      <c r="N77" s="16"/>
      <c r="O77" s="13"/>
    </row>
    <row r="78" spans="1:15" ht="15" customHeight="1" x14ac:dyDescent="0.25">
      <c r="A78" s="190"/>
      <c r="B78" s="136"/>
      <c r="C78" s="23"/>
      <c r="D78" s="23"/>
      <c r="E78" s="190"/>
      <c r="I78" s="16"/>
      <c r="J78" s="16"/>
      <c r="K78" s="16"/>
      <c r="L78" s="16"/>
      <c r="M78" s="16"/>
      <c r="N78" s="16"/>
      <c r="O78" s="13"/>
    </row>
    <row r="79" spans="1:15" ht="15" customHeight="1" x14ac:dyDescent="0.25">
      <c r="A79" s="190"/>
      <c r="B79" s="136"/>
      <c r="C79" s="23"/>
      <c r="D79" s="23"/>
      <c r="E79" s="190"/>
      <c r="I79" s="16"/>
      <c r="J79" s="16"/>
      <c r="K79" s="16"/>
      <c r="L79" s="16"/>
      <c r="M79" s="16"/>
      <c r="N79" s="16"/>
      <c r="O79" s="13"/>
    </row>
    <row r="80" spans="1:15" ht="15" customHeight="1" x14ac:dyDescent="0.25">
      <c r="A80" s="190"/>
      <c r="B80" s="136"/>
      <c r="C80" s="23"/>
      <c r="D80" s="23"/>
      <c r="E80" s="190"/>
      <c r="I80" s="16"/>
      <c r="J80" s="16"/>
      <c r="K80" s="16"/>
      <c r="L80" s="16"/>
      <c r="M80" s="16"/>
      <c r="N80" s="16"/>
      <c r="O80" s="13"/>
    </row>
    <row r="81" spans="1:15" ht="15" customHeight="1" x14ac:dyDescent="0.25">
      <c r="A81" s="190"/>
      <c r="B81" s="136"/>
      <c r="C81" s="23"/>
      <c r="D81" s="23"/>
      <c r="E81" s="190"/>
      <c r="I81" s="16"/>
      <c r="J81" s="16"/>
      <c r="K81" s="16"/>
      <c r="L81" s="16"/>
      <c r="M81" s="16"/>
      <c r="N81" s="16"/>
      <c r="O81" s="13"/>
    </row>
    <row r="82" spans="1:15" ht="15" customHeight="1" x14ac:dyDescent="0.25">
      <c r="A82" s="190"/>
      <c r="B82" s="136"/>
      <c r="C82" s="23"/>
      <c r="D82" s="23"/>
      <c r="E82" s="190"/>
      <c r="I82" s="16"/>
      <c r="J82" s="16"/>
      <c r="K82" s="16"/>
      <c r="L82" s="16"/>
      <c r="M82" s="16"/>
      <c r="N82" s="16"/>
      <c r="O82" s="13"/>
    </row>
    <row r="83" spans="1:15" ht="15" customHeight="1" x14ac:dyDescent="0.25">
      <c r="A83" s="190"/>
      <c r="B83" s="136"/>
      <c r="C83" s="23"/>
      <c r="D83" s="23"/>
      <c r="E83" s="190"/>
      <c r="I83" s="16"/>
      <c r="J83" s="16"/>
      <c r="K83" s="16"/>
      <c r="L83" s="16"/>
      <c r="M83" s="16"/>
      <c r="N83" s="16"/>
      <c r="O83" s="13"/>
    </row>
    <row r="84" spans="1:15" ht="15" customHeight="1" x14ac:dyDescent="0.25">
      <c r="A84" s="190"/>
      <c r="B84" s="136"/>
      <c r="C84" s="23"/>
      <c r="D84" s="23"/>
      <c r="E84" s="190"/>
      <c r="I84" s="16"/>
      <c r="J84" s="16"/>
      <c r="K84" s="16"/>
      <c r="L84" s="16"/>
      <c r="M84" s="16"/>
      <c r="N84" s="16"/>
      <c r="O84" s="13"/>
    </row>
    <row r="85" spans="1:15" ht="15" customHeight="1" x14ac:dyDescent="0.25">
      <c r="A85" s="190"/>
      <c r="B85" s="136"/>
      <c r="C85" s="23"/>
      <c r="D85" s="23"/>
      <c r="E85" s="190"/>
      <c r="I85" s="16"/>
      <c r="J85" s="16"/>
      <c r="K85" s="16"/>
      <c r="L85" s="16"/>
      <c r="M85" s="16"/>
      <c r="N85" s="16"/>
      <c r="O85" s="13"/>
    </row>
    <row r="86" spans="1:15" ht="15" customHeight="1" x14ac:dyDescent="0.25">
      <c r="I86" s="16"/>
    </row>
    <row r="87" spans="1:15" ht="15" customHeight="1" x14ac:dyDescent="0.25"/>
    <row r="88" spans="1:15" ht="15" customHeight="1" x14ac:dyDescent="0.25"/>
    <row r="89" spans="1:15" ht="15" customHeight="1" x14ac:dyDescent="0.25"/>
    <row r="90" spans="1:15" ht="15" customHeight="1" x14ac:dyDescent="0.25"/>
    <row r="91" spans="1:15" ht="15" customHeight="1" x14ac:dyDescent="0.25"/>
    <row r="92" spans="1:15" ht="15" customHeight="1" x14ac:dyDescent="0.25"/>
    <row r="93" spans="1:15" ht="15" customHeight="1" x14ac:dyDescent="0.25"/>
    <row r="94" spans="1:15" ht="15" customHeight="1" x14ac:dyDescent="0.25"/>
    <row r="95" spans="1:15" ht="15" customHeight="1" x14ac:dyDescent="0.25"/>
    <row r="96" spans="1:15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</sheetData>
  <sheetProtection formatCells="0" formatColumns="0" formatRows="0" insertColumns="0" insertRows="0" insertHyperlinks="0" deleteColumns="0" deleteRows="0" sort="0" autoFilter="0" pivotTables="0"/>
  <mergeCells count="29">
    <mergeCell ref="E26:F26"/>
    <mergeCell ref="E3:N3"/>
    <mergeCell ref="F10:G10"/>
    <mergeCell ref="J16:K16"/>
    <mergeCell ref="J13:K13"/>
    <mergeCell ref="F22:G22"/>
    <mergeCell ref="G26:H26"/>
    <mergeCell ref="G24:H24"/>
    <mergeCell ref="E24:F24"/>
    <mergeCell ref="G25:H25"/>
    <mergeCell ref="E25:F25"/>
    <mergeCell ref="I15:K15"/>
    <mergeCell ref="I12:K12"/>
    <mergeCell ref="A2:C2"/>
    <mergeCell ref="I5:K5"/>
    <mergeCell ref="A3:C3"/>
    <mergeCell ref="A22:C23"/>
    <mergeCell ref="J10:K10"/>
    <mergeCell ref="E9:G9"/>
    <mergeCell ref="E2:N2"/>
    <mergeCell ref="E23:N23"/>
    <mergeCell ref="M5:N5"/>
    <mergeCell ref="E15:G15"/>
    <mergeCell ref="M6:N6"/>
    <mergeCell ref="J21:K21"/>
    <mergeCell ref="I20:K20"/>
    <mergeCell ref="M7:N7"/>
    <mergeCell ref="E5:G5"/>
    <mergeCell ref="J9:K9"/>
  </mergeCells>
  <conditionalFormatting sqref="J13:K13">
    <cfRule type="expression" dxfId="1" priority="1">
      <formula>$J$13&gt;$J$10</formula>
    </cfRule>
  </conditionalFormatting>
  <conditionalFormatting sqref="M10:N10 M16:N16">
    <cfRule type="expression" dxfId="0" priority="3">
      <formula>$M$16&lt;12%</formula>
    </cfRule>
  </conditionalFormatting>
  <dataValidations count="5">
    <dataValidation type="list" allowBlank="1" showInputMessage="1" showErrorMessage="1" sqref="F21" xr:uid="{00000000-0002-0000-0300-000000000000}">
      <formula1>"0,1,2,3,4,5,6"</formula1>
    </dataValidation>
    <dataValidation type="list" allowBlank="1" showInputMessage="1" showErrorMessage="1" sqref="C12" xr:uid="{00000000-0002-0000-0300-000001000000}">
      <formula1>"SK TANGAN,TOP UP,TAKE OVER,MUTASI,MUTASI &amp; TAKE OVER,TAKE OVER MCI"</formula1>
    </dataValidation>
    <dataValidation type="list" allowBlank="1" showInputMessage="1" showErrorMessage="1" sqref="C16" xr:uid="{00000000-0002-0000-0300-000002000000}">
      <formula1>"ASABRI,TASPEN"</formula1>
    </dataValidation>
    <dataValidation type="list" allowBlank="1" showInputMessage="1" showErrorMessage="1" errorTitle="Input Tidak Valid" error="Hanya boleh: PLATINUM atau VETERAN. Gunakan daftar pilihan." promptTitle="Jenis" prompt="Pilih: Platinum atau Veteran" sqref="C6" xr:uid="{00000000-0002-0000-0300-000003000000}">
      <formula1>"PLATINUM,VETERAN"</formula1>
    </dataValidation>
    <dataValidation type="list" allowBlank="1" showInputMessage="1" showErrorMessage="1" sqref="C18" xr:uid="{00000000-0002-0000-0300-000004000000}">
      <formula1>"POS,MANTAP"</formula1>
    </dataValidation>
  </dataValidations>
  <pageMargins left="0.7" right="0.7" top="0.75" bottom="0.75" header="0.3" footer="0.3"/>
  <pageSetup paperSize="9" fitToWidth="0" fitToHeight="0" orientation="landscape"/>
  <ignoredErrors>
    <ignoredError sqref="C9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'D:\Projects\9%20-%20Bina%20Global\07-Marketing%20Tools\Penting\[Tabel%20Asuransi%20-%2020260715.xlsx]Asuransi Original'!#REF!</xm:f>
          </x14:formula1>
          <xm:sqref>C8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Ref</vt:lpstr>
      <vt:lpstr>Asuransi</vt:lpstr>
      <vt:lpstr>Simulasi BPR</vt:lpstr>
      <vt:lpstr>Asuransi!Print_Area</vt:lpstr>
    </vt:vector>
  </TitlesOfParts>
  <Company>komputer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BinaGlobalCemerlang</dc:title>
  <dc:subject>Simulasi Pencairan</dc:subject>
  <dc:creator>BGC</dc:creator>
  <cp:lastModifiedBy>pidarwib</cp:lastModifiedBy>
  <dcterms:created xsi:type="dcterms:W3CDTF">2011-09-16T07:22:27Z</dcterms:created>
  <dcterms:modified xsi:type="dcterms:W3CDTF">2026-08-24T04:27:45Z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e56b6fb6c6324c5da2eb5db6eb3b715b</vt:lpwstr>
  </property>
</Properties>
</file>